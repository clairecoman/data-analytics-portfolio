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omePC\Desktop\Data-Analytics Portfolio\Excel_Business_Analysis\"/>
    </mc:Choice>
  </mc:AlternateContent>
  <xr:revisionPtr revIDLastSave="0" documentId="8_{272D1AEF-F97A-42F1-9E87-823AE6187A44}" xr6:coauthVersionLast="47" xr6:coauthVersionMax="47" xr10:uidLastSave="{00000000-0000-0000-0000-000000000000}"/>
  <bookViews>
    <workbookView xWindow="-120" yWindow="-120" windowWidth="20730" windowHeight="11040" tabRatio="571" activeTab="3" xr2:uid="{6E03EFA0-C093-4E3E-B42D-8C72F3FFECBF}"/>
  </bookViews>
  <sheets>
    <sheet name="pivot table" sheetId="3" r:id="rId1"/>
    <sheet name="charts" sheetId="4" r:id="rId2"/>
    <sheet name="Sales_Table" sheetId="1" r:id="rId3"/>
    <sheet name="Dashboard" sheetId="2" r:id="rId4"/>
  </sheets>
  <definedNames>
    <definedName name="Slicer_Category">#N/A</definedName>
    <definedName name="Slicer_Payment_Method">#N/A</definedName>
    <definedName name="Slicer_Region">#N/A</definedName>
    <definedName name="Slicer_Yea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alcChain>
</file>

<file path=xl/sharedStrings.xml><?xml version="1.0" encoding="utf-8"?>
<sst xmlns="http://schemas.openxmlformats.org/spreadsheetml/2006/main" count="334" uniqueCount="66">
  <si>
    <t>Order_Date</t>
  </si>
  <si>
    <t>Customer_Name</t>
  </si>
  <si>
    <t>Region</t>
  </si>
  <si>
    <t>Category</t>
  </si>
  <si>
    <t>Product</t>
  </si>
  <si>
    <t>Quantity</t>
  </si>
  <si>
    <t>Unit_Price</t>
  </si>
  <si>
    <t>Total_Revenue</t>
  </si>
  <si>
    <t>Cost</t>
  </si>
  <si>
    <t>Profit</t>
  </si>
  <si>
    <t>Payment_Method</t>
  </si>
  <si>
    <t>James Carter</t>
  </si>
  <si>
    <t>North</t>
  </si>
  <si>
    <t>Electronics</t>
  </si>
  <si>
    <t>Laptop</t>
  </si>
  <si>
    <t>Card</t>
  </si>
  <si>
    <t>Sarah Lee</t>
  </si>
  <si>
    <t>South</t>
  </si>
  <si>
    <t>Apparel</t>
  </si>
  <si>
    <t>Jacket</t>
  </si>
  <si>
    <t>Cash</t>
  </si>
  <si>
    <t>David Kim</t>
  </si>
  <si>
    <t>West</t>
  </si>
  <si>
    <t>Footwear</t>
  </si>
  <si>
    <t>Sneakers</t>
  </si>
  <si>
    <t>Emily Stone</t>
  </si>
  <si>
    <t>East</t>
  </si>
  <si>
    <t>Tablet</t>
  </si>
  <si>
    <t>Transfer</t>
  </si>
  <si>
    <t>Michael Brown</t>
  </si>
  <si>
    <t>T-Shirt</t>
  </si>
  <si>
    <t>Olivia White</t>
  </si>
  <si>
    <t>Boots</t>
  </si>
  <si>
    <t>Daniel Green</t>
  </si>
  <si>
    <t>Phone</t>
  </si>
  <si>
    <t>Sophia Adams</t>
  </si>
  <si>
    <t>Dress</t>
  </si>
  <si>
    <t>Liam Scott</t>
  </si>
  <si>
    <t>Sandals</t>
  </si>
  <si>
    <t>Ava Turner</t>
  </si>
  <si>
    <t>Monitor</t>
  </si>
  <si>
    <t>Noah Harris</t>
  </si>
  <si>
    <t>Jeans</t>
  </si>
  <si>
    <t>Isabella Clark</t>
  </si>
  <si>
    <t>Headphones</t>
  </si>
  <si>
    <t>Lucas Lewis</t>
  </si>
  <si>
    <t>Mia Walker</t>
  </si>
  <si>
    <t>Blouse</t>
  </si>
  <si>
    <t>Ethan Hall</t>
  </si>
  <si>
    <t>Smartwatch</t>
  </si>
  <si>
    <t>Charlotte Young</t>
  </si>
  <si>
    <t>Year_month</t>
  </si>
  <si>
    <t>Row Labels</t>
  </si>
  <si>
    <t>2025-01</t>
  </si>
  <si>
    <t>2025-02</t>
  </si>
  <si>
    <t>2025-03</t>
  </si>
  <si>
    <t>2025-04</t>
  </si>
  <si>
    <t>2025-05</t>
  </si>
  <si>
    <t>2025-06</t>
  </si>
  <si>
    <t>Grand Total</t>
  </si>
  <si>
    <t>Sum of Total_Revenue</t>
  </si>
  <si>
    <t>lel</t>
  </si>
  <si>
    <t>Count of Order_ID</t>
  </si>
  <si>
    <t>Sum of Profit</t>
  </si>
  <si>
    <t xml:space="preserve"> </t>
  </si>
  <si>
    <t xml:space="preserve">Revenue shows gradual decline from january to june, indicating weakening sales momentum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</si>
</sst>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2" fillId="0" borderId="0" xfId="0" applyFont="1"/>
    <xf numFmtId="9" fontId="3" fillId="0" borderId="0" xfId="2" applyFont="1"/>
    <xf numFmtId="0" fontId="0" fillId="0" borderId="0" xfId="0" applyNumberFormat="1"/>
  </cellXfs>
  <cellStyles count="3">
    <cellStyle name="Currency" xfId="1" builtinId="4"/>
    <cellStyle name="Normal" xfId="0" builtinId="0"/>
    <cellStyle name="Percent" xfId="2" builtinId="5"/>
  </cellStyles>
  <dxfs count="2">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table'!$A$4:$A$10</c:f>
              <c:strCache>
                <c:ptCount val="6"/>
                <c:pt idx="0">
                  <c:v>2025-06</c:v>
                </c:pt>
                <c:pt idx="1">
                  <c:v>2025-05</c:v>
                </c:pt>
                <c:pt idx="2">
                  <c:v>2025-01</c:v>
                </c:pt>
                <c:pt idx="3">
                  <c:v>2025-03</c:v>
                </c:pt>
                <c:pt idx="4">
                  <c:v>2025-04</c:v>
                </c:pt>
                <c:pt idx="5">
                  <c:v>2025-02</c:v>
                </c:pt>
              </c:strCache>
            </c:strRef>
          </c:cat>
          <c:val>
            <c:numRef>
              <c:f>'pivot table'!$B$4:$B$10</c:f>
              <c:numCache>
                <c:formatCode>_("$"* #,##0.00_);_("$"* \(#,##0.00\);_("$"* "-"??_);_(@_)</c:formatCode>
                <c:ptCount val="6"/>
                <c:pt idx="0">
                  <c:v>1950</c:v>
                </c:pt>
                <c:pt idx="1">
                  <c:v>1900</c:v>
                </c:pt>
                <c:pt idx="2">
                  <c:v>1675</c:v>
                </c:pt>
                <c:pt idx="3">
                  <c:v>1400</c:v>
                </c:pt>
                <c:pt idx="4">
                  <c:v>500</c:v>
                </c:pt>
                <c:pt idx="5">
                  <c:v>160</c:v>
                </c:pt>
              </c:numCache>
            </c:numRef>
          </c:val>
          <c:smooth val="0"/>
          <c:extLst>
            <c:ext xmlns:c16="http://schemas.microsoft.com/office/drawing/2014/chart" uri="{C3380CC4-5D6E-409C-BE32-E72D297353CC}">
              <c16:uniqueId val="{00000000-0B7E-43A1-8115-45BC0D0113BC}"/>
            </c:ext>
          </c:extLst>
        </c:ser>
        <c:dLbls>
          <c:showLegendKey val="0"/>
          <c:showVal val="0"/>
          <c:showCatName val="0"/>
          <c:showSerName val="0"/>
          <c:showPercent val="0"/>
          <c:showBubbleSize val="0"/>
        </c:dLbls>
        <c:smooth val="0"/>
        <c:axId val="262370207"/>
        <c:axId val="262348607"/>
      </c:lineChart>
      <c:catAx>
        <c:axId val="26237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8607"/>
        <c:crosses val="autoZero"/>
        <c:auto val="1"/>
        <c:lblAlgn val="ctr"/>
        <c:lblOffset val="100"/>
        <c:noMultiLvlLbl val="0"/>
      </c:catAx>
      <c:valAx>
        <c:axId val="2623486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7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table'!$D$4:$D$7</c:f>
              <c:strCache>
                <c:ptCount val="3"/>
                <c:pt idx="0">
                  <c:v>Apparel</c:v>
                </c:pt>
                <c:pt idx="1">
                  <c:v>Electronics</c:v>
                </c:pt>
                <c:pt idx="2">
                  <c:v>Footwear</c:v>
                </c:pt>
              </c:strCache>
            </c:strRef>
          </c:cat>
          <c:val>
            <c:numRef>
              <c:f>'pivot table'!$E$4:$E$7</c:f>
              <c:numCache>
                <c:formatCode>_("$"* #,##0.00_);_("$"* \(#,##0.00\);_("$"* "-"??_);_(@_)</c:formatCode>
                <c:ptCount val="3"/>
                <c:pt idx="0">
                  <c:v>550</c:v>
                </c:pt>
                <c:pt idx="1">
                  <c:v>6250</c:v>
                </c:pt>
                <c:pt idx="2">
                  <c:v>785</c:v>
                </c:pt>
              </c:numCache>
            </c:numRef>
          </c:val>
          <c:extLst>
            <c:ext xmlns:c16="http://schemas.microsoft.com/office/drawing/2014/chart" uri="{C3380CC4-5D6E-409C-BE32-E72D297353CC}">
              <c16:uniqueId val="{00000000-54C6-4273-804F-0C2C64D15385}"/>
            </c:ext>
          </c:extLst>
        </c:ser>
        <c:dLbls>
          <c:showLegendKey val="0"/>
          <c:showVal val="0"/>
          <c:showCatName val="0"/>
          <c:showSerName val="0"/>
          <c:showPercent val="0"/>
          <c:showBubbleSize val="0"/>
        </c:dLbls>
        <c:gapWidth val="219"/>
        <c:axId val="262405247"/>
        <c:axId val="262379807"/>
      </c:barChart>
      <c:catAx>
        <c:axId val="26240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79807"/>
        <c:crosses val="autoZero"/>
        <c:auto val="1"/>
        <c:lblAlgn val="ctr"/>
        <c:lblOffset val="100"/>
        <c:noMultiLvlLbl val="0"/>
      </c:catAx>
      <c:valAx>
        <c:axId val="262379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0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table'!$G$4:$G$5</c:f>
              <c:strCache>
                <c:ptCount val="1"/>
                <c:pt idx="0">
                  <c:v>West</c:v>
                </c:pt>
              </c:strCache>
            </c:strRef>
          </c:cat>
          <c:val>
            <c:numRef>
              <c:f>'pivot table'!$H$4:$H$5</c:f>
              <c:numCache>
                <c:formatCode>_("$"* #,##0.00_);_("$"* \(#,##0.00\);_("$"* "-"??_);_(@_)</c:formatCode>
                <c:ptCount val="1"/>
                <c:pt idx="0">
                  <c:v>7585</c:v>
                </c:pt>
              </c:numCache>
            </c:numRef>
          </c:val>
          <c:extLst>
            <c:ext xmlns:c16="http://schemas.microsoft.com/office/drawing/2014/chart" uri="{C3380CC4-5D6E-409C-BE32-E72D297353CC}">
              <c16:uniqueId val="{00000000-F8FA-4942-BE3D-009B77D83C0A}"/>
            </c:ext>
          </c:extLst>
        </c:ser>
        <c:dLbls>
          <c:showLegendKey val="0"/>
          <c:showVal val="0"/>
          <c:showCatName val="0"/>
          <c:showSerName val="0"/>
          <c:showPercent val="0"/>
          <c:showBubbleSize val="0"/>
        </c:dLbls>
        <c:gapWidth val="182"/>
        <c:axId val="262350527"/>
        <c:axId val="262373567"/>
      </c:barChart>
      <c:catAx>
        <c:axId val="26235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73567"/>
        <c:crosses val="autoZero"/>
        <c:auto val="1"/>
        <c:lblAlgn val="ctr"/>
        <c:lblOffset val="100"/>
        <c:noMultiLvlLbl val="0"/>
      </c:catAx>
      <c:valAx>
        <c:axId val="2623735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5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TOP</a:t>
            </a:r>
            <a:r>
              <a:rPr lang="en-US" sz="1200" b="1" baseline="0">
                <a:latin typeface="Arial" panose="020B0604020202020204" pitchFamily="34" charset="0"/>
                <a:cs typeface="Arial" panose="020B0604020202020204" pitchFamily="34" charset="0"/>
              </a:rPr>
              <a:t> 10 CUSTOMERS</a:t>
            </a:r>
            <a:endParaRPr lang="en-US" sz="12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table'!$A$14:$A$20</c:f>
              <c:strCache>
                <c:ptCount val="6"/>
                <c:pt idx="0">
                  <c:v>Noah Harris</c:v>
                </c:pt>
                <c:pt idx="1">
                  <c:v>Lucas Lewis</c:v>
                </c:pt>
                <c:pt idx="2">
                  <c:v>James Carter</c:v>
                </c:pt>
                <c:pt idx="3">
                  <c:v>Ethan Hall</c:v>
                </c:pt>
                <c:pt idx="4">
                  <c:v>David Kim</c:v>
                </c:pt>
                <c:pt idx="5">
                  <c:v>Daniel Green</c:v>
                </c:pt>
              </c:strCache>
            </c:strRef>
          </c:cat>
          <c:val>
            <c:numRef>
              <c:f>'pivot table'!$B$14:$B$20</c:f>
              <c:numCache>
                <c:formatCode>_("$"* #,##0.00_);_("$"* \(#,##0.00\);_("$"* "-"??_);_(@_)</c:formatCode>
                <c:ptCount val="6"/>
                <c:pt idx="0">
                  <c:v>1380</c:v>
                </c:pt>
                <c:pt idx="1">
                  <c:v>90</c:v>
                </c:pt>
                <c:pt idx="2">
                  <c:v>450</c:v>
                </c:pt>
                <c:pt idx="3">
                  <c:v>2700</c:v>
                </c:pt>
                <c:pt idx="4">
                  <c:v>1335</c:v>
                </c:pt>
                <c:pt idx="5">
                  <c:v>1630</c:v>
                </c:pt>
              </c:numCache>
            </c:numRef>
          </c:val>
          <c:extLst>
            <c:ext xmlns:c16="http://schemas.microsoft.com/office/drawing/2014/chart" uri="{C3380CC4-5D6E-409C-BE32-E72D297353CC}">
              <c16:uniqueId val="{00000000-1D45-484D-999D-855502D096A2}"/>
            </c:ext>
          </c:extLst>
        </c:ser>
        <c:dLbls>
          <c:showLegendKey val="0"/>
          <c:showVal val="0"/>
          <c:showCatName val="0"/>
          <c:showSerName val="0"/>
          <c:showPercent val="0"/>
          <c:showBubbleSize val="0"/>
        </c:dLbls>
        <c:gapWidth val="150"/>
        <c:overlap val="100"/>
        <c:axId val="262363007"/>
        <c:axId val="262351487"/>
      </c:barChart>
      <c:catAx>
        <c:axId val="262363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51487"/>
        <c:crosses val="autoZero"/>
        <c:auto val="1"/>
        <c:lblAlgn val="ctr"/>
        <c:lblOffset val="100"/>
        <c:noMultiLvlLbl val="0"/>
      </c:catAx>
      <c:valAx>
        <c:axId val="262351487"/>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crossAx val="26236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3C-4596-B87F-EF1602B615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3C-4596-B87F-EF1602B615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3C-4596-B87F-EF1602B61553}"/>
              </c:ext>
            </c:extLst>
          </c:dPt>
          <c:cat>
            <c:strRef>
              <c:f>'pivot table'!$H$20:$H$23</c:f>
              <c:strCache>
                <c:ptCount val="3"/>
                <c:pt idx="0">
                  <c:v>Card</c:v>
                </c:pt>
                <c:pt idx="1">
                  <c:v>Cash</c:v>
                </c:pt>
                <c:pt idx="2">
                  <c:v>Transfer</c:v>
                </c:pt>
              </c:strCache>
            </c:strRef>
          </c:cat>
          <c:val>
            <c:numRef>
              <c:f>'pivot table'!$I$20:$I$23</c:f>
              <c:numCache>
                <c:formatCode>General</c:formatCode>
                <c:ptCount val="3"/>
                <c:pt idx="0">
                  <c:v>7</c:v>
                </c:pt>
                <c:pt idx="1">
                  <c:v>4</c:v>
                </c:pt>
                <c:pt idx="2">
                  <c:v>3</c:v>
                </c:pt>
              </c:numCache>
            </c:numRef>
          </c:val>
          <c:extLst>
            <c:ext xmlns:c16="http://schemas.microsoft.com/office/drawing/2014/chart" uri="{C3380CC4-5D6E-409C-BE32-E72D297353CC}">
              <c16:uniqueId val="{00000006-A63C-4596-B87F-EF1602B615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table!PivotTable4</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100" b="1">
                <a:latin typeface="Arial" panose="020B0604020202020204" pitchFamily="34" charset="0"/>
                <a:cs typeface="Arial" panose="020B0604020202020204" pitchFamily="34" charset="0"/>
              </a:rPr>
              <a:t>TOP 10 CUSTOMERS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70666095104873"/>
          <c:y val="0.1926212359283444"/>
          <c:w val="0.57612598425196848"/>
          <c:h val="0.74470063036992173"/>
        </c:manualLayout>
      </c:layout>
      <c:barChart>
        <c:barDir val="bar"/>
        <c:grouping val="stacked"/>
        <c:varyColors val="0"/>
        <c:ser>
          <c:idx val="0"/>
          <c:order val="0"/>
          <c:tx>
            <c:strRef>
              <c:f>'pivot table'!$B$13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Noah Harris</c:v>
                </c:pt>
                <c:pt idx="1">
                  <c:v>Lucas Lewis</c:v>
                </c:pt>
                <c:pt idx="2">
                  <c:v>James Carter</c:v>
                </c:pt>
                <c:pt idx="3">
                  <c:v>Ethan Hall</c:v>
                </c:pt>
                <c:pt idx="4">
                  <c:v>David Kim</c:v>
                </c:pt>
                <c:pt idx="5">
                  <c:v>Daniel Green</c:v>
                </c:pt>
              </c:strCache>
            </c:strRef>
          </c:cat>
          <c:val>
            <c:numRef>
              <c:f>'pivot table'!$B$14:$B$20</c:f>
              <c:numCache>
                <c:formatCode>_("$"* #,##0.00_);_("$"* \(#,##0.00\);_("$"* "-"??_);_(@_)</c:formatCode>
                <c:ptCount val="6"/>
                <c:pt idx="0">
                  <c:v>1380</c:v>
                </c:pt>
                <c:pt idx="1">
                  <c:v>90</c:v>
                </c:pt>
                <c:pt idx="2">
                  <c:v>450</c:v>
                </c:pt>
                <c:pt idx="3">
                  <c:v>2700</c:v>
                </c:pt>
                <c:pt idx="4">
                  <c:v>1335</c:v>
                </c:pt>
                <c:pt idx="5">
                  <c:v>1630</c:v>
                </c:pt>
              </c:numCache>
            </c:numRef>
          </c:val>
          <c:extLst>
            <c:ext xmlns:c16="http://schemas.microsoft.com/office/drawing/2014/chart" uri="{C3380CC4-5D6E-409C-BE32-E72D297353CC}">
              <c16:uniqueId val="{00000000-F559-45B7-89EC-FC88D1754B40}"/>
            </c:ext>
          </c:extLst>
        </c:ser>
        <c:dLbls>
          <c:showLegendKey val="0"/>
          <c:showVal val="0"/>
          <c:showCatName val="0"/>
          <c:showSerName val="0"/>
          <c:showPercent val="0"/>
          <c:showBubbleSize val="0"/>
        </c:dLbls>
        <c:gapWidth val="150"/>
        <c:overlap val="100"/>
        <c:axId val="262363007"/>
        <c:axId val="262351487"/>
      </c:barChart>
      <c:catAx>
        <c:axId val="262363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51487"/>
        <c:crosses val="autoZero"/>
        <c:auto val="1"/>
        <c:lblAlgn val="ctr"/>
        <c:lblOffset val="100"/>
        <c:noMultiLvlLbl val="0"/>
      </c:catAx>
      <c:valAx>
        <c:axId val="262351487"/>
        <c:scaling>
          <c:orientation val="minMax"/>
        </c:scaling>
        <c:delete val="1"/>
        <c:axPos val="b"/>
        <c:numFmt formatCode="_(&quot;$&quot;* #,##0.00_);_(&quot;$&quot;* \(#,##0.00\);_(&quot;$&quot;* &quot;-&quot;??_);_(@_)" sourceLinked="1"/>
        <c:majorTickMark val="out"/>
        <c:minorTickMark val="none"/>
        <c:tickLblPos val="nextTo"/>
        <c:crossAx val="26236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table!PivotTable3</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100" b="1">
                <a:solidFill>
                  <a:schemeClr val="bg2">
                    <a:lumMod val="10000"/>
                  </a:schemeClr>
                </a:solidFill>
                <a:latin typeface="Arial" panose="020B0604020202020204" pitchFamily="34" charset="0"/>
                <a:cs typeface="Arial" panose="020B0604020202020204" pitchFamily="34" charset="0"/>
              </a:rPr>
              <a:t>REVENUE BY</a:t>
            </a:r>
            <a:r>
              <a:rPr lang="en-US" sz="1100" b="1" baseline="0">
                <a:solidFill>
                  <a:schemeClr val="bg2">
                    <a:lumMod val="10000"/>
                  </a:schemeClr>
                </a:solidFill>
                <a:latin typeface="Arial" panose="020B0604020202020204" pitchFamily="34" charset="0"/>
                <a:cs typeface="Arial" panose="020B0604020202020204" pitchFamily="34" charset="0"/>
              </a:rPr>
              <a:t> REGION</a:t>
            </a:r>
            <a:endParaRPr lang="en-US" sz="1100" b="1">
              <a:solidFill>
                <a:schemeClr val="bg2">
                  <a:lumMod val="1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table'!$G$4:$G$5</c:f>
              <c:strCache>
                <c:ptCount val="1"/>
                <c:pt idx="0">
                  <c:v>West</c:v>
                </c:pt>
              </c:strCache>
            </c:strRef>
          </c:cat>
          <c:val>
            <c:numRef>
              <c:f>'pivot table'!$H$4:$H$5</c:f>
              <c:numCache>
                <c:formatCode>_("$"* #,##0.00_);_("$"* \(#,##0.00\);_("$"* "-"??_);_(@_)</c:formatCode>
                <c:ptCount val="1"/>
                <c:pt idx="0">
                  <c:v>7585</c:v>
                </c:pt>
              </c:numCache>
            </c:numRef>
          </c:val>
          <c:extLst>
            <c:ext xmlns:c16="http://schemas.microsoft.com/office/drawing/2014/chart" uri="{C3380CC4-5D6E-409C-BE32-E72D297353CC}">
              <c16:uniqueId val="{00000000-7470-4CD1-AEDA-7BD976CAECA1}"/>
            </c:ext>
          </c:extLst>
        </c:ser>
        <c:dLbls>
          <c:showLegendKey val="0"/>
          <c:showVal val="0"/>
          <c:showCatName val="0"/>
          <c:showSerName val="0"/>
          <c:showPercent val="0"/>
          <c:showBubbleSize val="0"/>
        </c:dLbls>
        <c:gapWidth val="182"/>
        <c:axId val="262350527"/>
        <c:axId val="262373567"/>
      </c:barChart>
      <c:catAx>
        <c:axId val="26235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2373567"/>
        <c:crosses val="autoZero"/>
        <c:auto val="1"/>
        <c:lblAlgn val="ctr"/>
        <c:lblOffset val="100"/>
        <c:noMultiLvlLbl val="0"/>
      </c:catAx>
      <c:valAx>
        <c:axId val="26237356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235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2">
                    <a:lumMod val="10000"/>
                  </a:schemeClr>
                </a:solidFill>
                <a:latin typeface="Arial" panose="020B0604020202020204" pitchFamily="34" charset="0"/>
                <a:cs typeface="Arial" panose="020B0604020202020204" pitchFamily="34" charset="0"/>
              </a:rPr>
              <a:t>REVENUE</a:t>
            </a:r>
            <a:r>
              <a:rPr lang="en-US" sz="1100" b="1" baseline="0">
                <a:solidFill>
                  <a:schemeClr val="bg2">
                    <a:lumMod val="10000"/>
                  </a:schemeClr>
                </a:solidFill>
                <a:latin typeface="Arial" panose="020B0604020202020204" pitchFamily="34" charset="0"/>
                <a:cs typeface="Arial" panose="020B0604020202020204" pitchFamily="34" charset="0"/>
              </a:rPr>
              <a:t> BY PRODUCT CATEGORY</a:t>
            </a:r>
            <a:endParaRPr lang="en-US" sz="1100" b="1">
              <a:solidFill>
                <a:schemeClr val="bg2">
                  <a:lumMod val="1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table'!$D$4:$D$7</c:f>
              <c:strCache>
                <c:ptCount val="3"/>
                <c:pt idx="0">
                  <c:v>Apparel</c:v>
                </c:pt>
                <c:pt idx="1">
                  <c:v>Electronics</c:v>
                </c:pt>
                <c:pt idx="2">
                  <c:v>Footwear</c:v>
                </c:pt>
              </c:strCache>
            </c:strRef>
          </c:cat>
          <c:val>
            <c:numRef>
              <c:f>'pivot table'!$E$4:$E$7</c:f>
              <c:numCache>
                <c:formatCode>_("$"* #,##0.00_);_("$"* \(#,##0.00\);_("$"* "-"??_);_(@_)</c:formatCode>
                <c:ptCount val="3"/>
                <c:pt idx="0">
                  <c:v>550</c:v>
                </c:pt>
                <c:pt idx="1">
                  <c:v>6250</c:v>
                </c:pt>
                <c:pt idx="2">
                  <c:v>785</c:v>
                </c:pt>
              </c:numCache>
            </c:numRef>
          </c:val>
          <c:extLst>
            <c:ext xmlns:c16="http://schemas.microsoft.com/office/drawing/2014/chart" uri="{C3380CC4-5D6E-409C-BE32-E72D297353CC}">
              <c16:uniqueId val="{00000000-CC5E-411A-B4AA-32B545EC5028}"/>
            </c:ext>
          </c:extLst>
        </c:ser>
        <c:dLbls>
          <c:showLegendKey val="0"/>
          <c:showVal val="0"/>
          <c:showCatName val="0"/>
          <c:showSerName val="0"/>
          <c:showPercent val="0"/>
          <c:showBubbleSize val="0"/>
        </c:dLbls>
        <c:gapWidth val="219"/>
        <c:axId val="262405247"/>
        <c:axId val="262379807"/>
      </c:barChart>
      <c:catAx>
        <c:axId val="26240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2379807"/>
        <c:crosses val="autoZero"/>
        <c:auto val="1"/>
        <c:lblAlgn val="ctr"/>
        <c:lblOffset val="100"/>
        <c:noMultiLvlLbl val="0"/>
      </c:catAx>
      <c:valAx>
        <c:axId val="262379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240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table!PivotTable1</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100" b="1">
                <a:solidFill>
                  <a:schemeClr val="bg2">
                    <a:lumMod val="10000"/>
                  </a:schemeClr>
                </a:solidFill>
                <a:latin typeface="Arial" panose="020B0604020202020204" pitchFamily="34" charset="0"/>
                <a:cs typeface="Arial" panose="020B0604020202020204" pitchFamily="34" charset="0"/>
              </a:rPr>
              <a:t>MONTHLY REVENUE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table'!$A$4:$A$10</c:f>
              <c:strCache>
                <c:ptCount val="6"/>
                <c:pt idx="0">
                  <c:v>2025-06</c:v>
                </c:pt>
                <c:pt idx="1">
                  <c:v>2025-05</c:v>
                </c:pt>
                <c:pt idx="2">
                  <c:v>2025-01</c:v>
                </c:pt>
                <c:pt idx="3">
                  <c:v>2025-03</c:v>
                </c:pt>
                <c:pt idx="4">
                  <c:v>2025-04</c:v>
                </c:pt>
                <c:pt idx="5">
                  <c:v>2025-02</c:v>
                </c:pt>
              </c:strCache>
            </c:strRef>
          </c:cat>
          <c:val>
            <c:numRef>
              <c:f>'pivot table'!$B$4:$B$10</c:f>
              <c:numCache>
                <c:formatCode>_("$"* #,##0.00_);_("$"* \(#,##0.00\);_("$"* "-"??_);_(@_)</c:formatCode>
                <c:ptCount val="6"/>
                <c:pt idx="0">
                  <c:v>1950</c:v>
                </c:pt>
                <c:pt idx="1">
                  <c:v>1900</c:v>
                </c:pt>
                <c:pt idx="2">
                  <c:v>1675</c:v>
                </c:pt>
                <c:pt idx="3">
                  <c:v>1400</c:v>
                </c:pt>
                <c:pt idx="4">
                  <c:v>500</c:v>
                </c:pt>
                <c:pt idx="5">
                  <c:v>160</c:v>
                </c:pt>
              </c:numCache>
            </c:numRef>
          </c:val>
          <c:smooth val="0"/>
          <c:extLst>
            <c:ext xmlns:c16="http://schemas.microsoft.com/office/drawing/2014/chart" uri="{C3380CC4-5D6E-409C-BE32-E72D297353CC}">
              <c16:uniqueId val="{00000000-FE3C-43C0-863A-2CB08926FC4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62370207"/>
        <c:axId val="262348607"/>
      </c:lineChart>
      <c:catAx>
        <c:axId val="2623702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262348607"/>
        <c:crosses val="autoZero"/>
        <c:auto val="1"/>
        <c:lblAlgn val="ctr"/>
        <c:lblOffset val="100"/>
        <c:noMultiLvlLbl val="0"/>
      </c:catAx>
      <c:valAx>
        <c:axId val="26234860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262370207"/>
        <c:crosses val="autoZero"/>
        <c:crossBetween val="between"/>
      </c:val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[Retail_Sales_2025_working.xlsx]pivot table!PivotTable8</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100">
                <a:solidFill>
                  <a:schemeClr val="bg2">
                    <a:lumMod val="10000"/>
                  </a:schemeClr>
                </a:solidFill>
                <a:latin typeface="Arial" panose="020B0604020202020204" pitchFamily="34" charset="0"/>
                <a:cs typeface="Arial" panose="020B0604020202020204" pitchFamily="34" charset="0"/>
              </a:rPr>
              <a:t>PAYMENT</a:t>
            </a:r>
            <a:r>
              <a:rPr lang="en-US" sz="1100" baseline="0">
                <a:solidFill>
                  <a:schemeClr val="bg2">
                    <a:lumMod val="10000"/>
                  </a:schemeClr>
                </a:solidFill>
                <a:latin typeface="Arial" panose="020B0604020202020204" pitchFamily="34" charset="0"/>
                <a:cs typeface="Arial" panose="020B0604020202020204" pitchFamily="34" charset="0"/>
              </a:rPr>
              <a:t> METHOD DISTRIBUTION</a:t>
            </a:r>
            <a:endParaRPr lang="en-US" sz="1100">
              <a:solidFill>
                <a:schemeClr val="bg2">
                  <a:lumMod val="1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table'!$I$19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36-4F49-8BCB-25EE5EEEFB14}"/>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36-4F49-8BCB-25EE5EEEFB14}"/>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136-4F49-8BCB-25EE5EEEFB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table'!$H$20:$H$23</c:f>
              <c:strCache>
                <c:ptCount val="3"/>
                <c:pt idx="0">
                  <c:v>Card</c:v>
                </c:pt>
                <c:pt idx="1">
                  <c:v>Cash</c:v>
                </c:pt>
                <c:pt idx="2">
                  <c:v>Transfer</c:v>
                </c:pt>
              </c:strCache>
            </c:strRef>
          </c:cat>
          <c:val>
            <c:numRef>
              <c:f>'pivot table'!$I$20:$I$23</c:f>
              <c:numCache>
                <c:formatCode>General</c:formatCode>
                <c:ptCount val="3"/>
                <c:pt idx="0">
                  <c:v>7</c:v>
                </c:pt>
                <c:pt idx="1">
                  <c:v>4</c:v>
                </c:pt>
                <c:pt idx="2">
                  <c:v>3</c:v>
                </c:pt>
              </c:numCache>
            </c:numRef>
          </c:val>
          <c:extLst>
            <c:ext xmlns:c16="http://schemas.microsoft.com/office/drawing/2014/chart" uri="{C3380CC4-5D6E-409C-BE32-E72D297353CC}">
              <c16:uniqueId val="{00000006-C136-4F49-8BCB-25EE5EEEFB14}"/>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1000125</xdr:colOff>
      <xdr:row>7</xdr:row>
      <xdr:rowOff>114300</xdr:rowOff>
    </xdr:from>
    <xdr:to>
      <xdr:col>7</xdr:col>
      <xdr:colOff>190500</xdr:colOff>
      <xdr:row>20</xdr:row>
      <xdr:rowOff>161925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7762781-9600-13A8-4DD1-04D2E67A6A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72025" y="1447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323850</xdr:colOff>
      <xdr:row>10</xdr:row>
      <xdr:rowOff>19050</xdr:rowOff>
    </xdr:from>
    <xdr:to>
      <xdr:col>7</xdr:col>
      <xdr:colOff>666750</xdr:colOff>
      <xdr:row>23</xdr:row>
      <xdr:rowOff>66675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F06BD5D-35E3-B073-1B14-01DEC12D2B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48275" y="1924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12</xdr:row>
      <xdr:rowOff>114300</xdr:rowOff>
    </xdr:from>
    <xdr:to>
      <xdr:col>8</xdr:col>
      <xdr:colOff>266700</xdr:colOff>
      <xdr:row>25</xdr:row>
      <xdr:rowOff>161925</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74CE303A-E5EA-DA0A-5770-EB1D0DCE88C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724525" y="2400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666750</xdr:colOff>
      <xdr:row>15</xdr:row>
      <xdr:rowOff>19050</xdr:rowOff>
    </xdr:from>
    <xdr:to>
      <xdr:col>8</xdr:col>
      <xdr:colOff>742950</xdr:colOff>
      <xdr:row>28</xdr:row>
      <xdr:rowOff>66675</xdr:rowOff>
    </xdr:to>
    <mc:AlternateContent xmlns:mc="http://schemas.openxmlformats.org/markup-compatibility/2006" xmlns:a14="http://schemas.microsoft.com/office/drawing/2010/main">
      <mc:Choice Requires="a14">
        <xdr:graphicFrame macro="">
          <xdr:nvGraphicFramePr>
            <xdr:cNvPr id="10" name="Year_month">
              <a:extLst>
                <a:ext uri="{FF2B5EF4-FFF2-40B4-BE49-F238E27FC236}">
                  <a16:creationId xmlns:a16="http://schemas.microsoft.com/office/drawing/2014/main" id="{B60C3CBA-CACE-FFCE-0BAF-176535197BE4}"/>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6200775"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304800</xdr:colOff>
      <xdr:row>18</xdr:row>
      <xdr:rowOff>76200</xdr:rowOff>
    </xdr:to>
    <xdr:graphicFrame macro="">
      <xdr:nvGraphicFramePr>
        <xdr:cNvPr id="2" name="Chart 1">
          <a:extLst>
            <a:ext uri="{FF2B5EF4-FFF2-40B4-BE49-F238E27FC236}">
              <a16:creationId xmlns:a16="http://schemas.microsoft.com/office/drawing/2014/main" id="{3FC3EB51-993E-48C4-B232-A26224542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xdr:row>
      <xdr:rowOff>0</xdr:rowOff>
    </xdr:from>
    <xdr:to>
      <xdr:col>17</xdr:col>
      <xdr:colOff>304800</xdr:colOff>
      <xdr:row>18</xdr:row>
      <xdr:rowOff>76200</xdr:rowOff>
    </xdr:to>
    <xdr:graphicFrame macro="">
      <xdr:nvGraphicFramePr>
        <xdr:cNvPr id="3" name="Chart 2">
          <a:extLst>
            <a:ext uri="{FF2B5EF4-FFF2-40B4-BE49-F238E27FC236}">
              <a16:creationId xmlns:a16="http://schemas.microsoft.com/office/drawing/2014/main" id="{B0C37226-FDFC-48BA-B274-DF65DCF1C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9</xdr:row>
      <xdr:rowOff>0</xdr:rowOff>
    </xdr:from>
    <xdr:to>
      <xdr:col>25</xdr:col>
      <xdr:colOff>304800</xdr:colOff>
      <xdr:row>23</xdr:row>
      <xdr:rowOff>76200</xdr:rowOff>
    </xdr:to>
    <xdr:graphicFrame macro="">
      <xdr:nvGraphicFramePr>
        <xdr:cNvPr id="4" name="Chart 3">
          <a:extLst>
            <a:ext uri="{FF2B5EF4-FFF2-40B4-BE49-F238E27FC236}">
              <a16:creationId xmlns:a16="http://schemas.microsoft.com/office/drawing/2014/main" id="{0BBEDFAF-5B36-42E1-80DA-51AE92080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xdr:row>
      <xdr:rowOff>0</xdr:rowOff>
    </xdr:from>
    <xdr:to>
      <xdr:col>8</xdr:col>
      <xdr:colOff>304800</xdr:colOff>
      <xdr:row>16</xdr:row>
      <xdr:rowOff>76200</xdr:rowOff>
    </xdr:to>
    <xdr:graphicFrame macro="">
      <xdr:nvGraphicFramePr>
        <xdr:cNvPr id="5" name="Chart 4">
          <a:extLst>
            <a:ext uri="{FF2B5EF4-FFF2-40B4-BE49-F238E27FC236}">
              <a16:creationId xmlns:a16="http://schemas.microsoft.com/office/drawing/2014/main" id="{753A9693-C0E6-4C87-8CA2-3CEAA9F95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23</xdr:row>
      <xdr:rowOff>0</xdr:rowOff>
    </xdr:from>
    <xdr:to>
      <xdr:col>10</xdr:col>
      <xdr:colOff>304800</xdr:colOff>
      <xdr:row>37</xdr:row>
      <xdr:rowOff>76200</xdr:rowOff>
    </xdr:to>
    <xdr:graphicFrame macro="">
      <xdr:nvGraphicFramePr>
        <xdr:cNvPr id="6" name="Chart 5">
          <a:extLst>
            <a:ext uri="{FF2B5EF4-FFF2-40B4-BE49-F238E27FC236}">
              <a16:creationId xmlns:a16="http://schemas.microsoft.com/office/drawing/2014/main" id="{4F008FEC-3850-48A5-91DE-249F96718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409575</xdr:colOff>
      <xdr:row>3</xdr:row>
      <xdr:rowOff>9525</xdr:rowOff>
    </xdr:from>
    <xdr:to>
      <xdr:col>20</xdr:col>
      <xdr:colOff>0</xdr:colOff>
      <xdr:row>7</xdr:row>
      <xdr:rowOff>28575</xdr:rowOff>
    </xdr:to>
    <xdr:sp macro="" textlink="">
      <xdr:nvSpPr>
        <xdr:cNvPr id="13" name="Rectangle: Rounded Corners 12">
          <a:extLst>
            <a:ext uri="{FF2B5EF4-FFF2-40B4-BE49-F238E27FC236}">
              <a16:creationId xmlns:a16="http://schemas.microsoft.com/office/drawing/2014/main" id="{3FE31B81-3B27-C2E8-9693-C214AAC89FF3}"/>
            </a:ext>
          </a:extLst>
        </xdr:cNvPr>
        <xdr:cNvSpPr/>
      </xdr:nvSpPr>
      <xdr:spPr>
        <a:xfrm>
          <a:off x="9696450" y="581025"/>
          <a:ext cx="2638425" cy="86677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2">
                  <a:lumMod val="10000"/>
                </a:schemeClr>
              </a:solidFill>
              <a:effectLst/>
              <a:latin typeface="+mn-lt"/>
              <a:ea typeface="+mn-ea"/>
              <a:cs typeface="+mn-cs"/>
            </a:rPr>
            <a:t>PROFIT MARGIN</a:t>
          </a:r>
          <a:r>
            <a:rPr lang="en-US">
              <a:solidFill>
                <a:schemeClr val="bg2">
                  <a:lumMod val="10000"/>
                </a:schemeClr>
              </a:solidFill>
              <a:effectLst/>
            </a:rPr>
            <a:t> </a:t>
          </a:r>
        </a:p>
        <a:p>
          <a:pPr algn="ctr"/>
          <a:r>
            <a:rPr lang="en-US" sz="2000" b="1" i="0" u="none" strike="noStrike">
              <a:solidFill>
                <a:schemeClr val="bg2">
                  <a:lumMod val="10000"/>
                </a:schemeClr>
              </a:solidFill>
              <a:effectLst/>
              <a:latin typeface="+mn-lt"/>
              <a:ea typeface="+mn-ea"/>
              <a:cs typeface="+mn-cs"/>
            </a:rPr>
            <a:t>26.7%</a:t>
          </a:r>
          <a:r>
            <a:rPr lang="en-US" sz="2000" b="1">
              <a:solidFill>
                <a:schemeClr val="bg2">
                  <a:lumMod val="10000"/>
                </a:schemeClr>
              </a:solidFill>
              <a:effectLst/>
            </a:rPr>
            <a:t> </a:t>
          </a:r>
          <a:endParaRPr lang="en-US" sz="2000" b="1">
            <a:solidFill>
              <a:schemeClr val="bg2">
                <a:lumMod val="10000"/>
              </a:schemeClr>
            </a:solidFill>
          </a:endParaRPr>
        </a:p>
      </xdr:txBody>
    </xdr:sp>
    <xdr:clientData/>
  </xdr:twoCellAnchor>
  <xdr:twoCellAnchor>
    <xdr:from>
      <xdr:col>3</xdr:col>
      <xdr:colOff>123824</xdr:colOff>
      <xdr:row>0</xdr:row>
      <xdr:rowOff>76200</xdr:rowOff>
    </xdr:from>
    <xdr:to>
      <xdr:col>20</xdr:col>
      <xdr:colOff>9524</xdr:colOff>
      <xdr:row>2</xdr:row>
      <xdr:rowOff>142875</xdr:rowOff>
    </xdr:to>
    <xdr:sp macro="" textlink="">
      <xdr:nvSpPr>
        <xdr:cNvPr id="2" name="Rectangle: Rounded Corners 1">
          <a:extLst>
            <a:ext uri="{FF2B5EF4-FFF2-40B4-BE49-F238E27FC236}">
              <a16:creationId xmlns:a16="http://schemas.microsoft.com/office/drawing/2014/main" id="{F1293204-DEBC-DF5D-A4C4-847C2CC18A37}"/>
            </a:ext>
          </a:extLst>
        </xdr:cNvPr>
        <xdr:cNvSpPr/>
      </xdr:nvSpPr>
      <xdr:spPr>
        <a:xfrm>
          <a:off x="1952624" y="76200"/>
          <a:ext cx="10391775" cy="44767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2000" b="1">
              <a:solidFill>
                <a:schemeClr val="tx1">
                  <a:lumMod val="85000"/>
                  <a:lumOff val="15000"/>
                </a:schemeClr>
              </a:solidFill>
              <a:latin typeface="Britannic Bold" panose="020B0903060703020204" pitchFamily="34" charset="0"/>
            </a:rPr>
            <a:t> RETAIL SALES</a:t>
          </a:r>
          <a:r>
            <a:rPr lang="en-US" sz="2000" b="1" baseline="0">
              <a:solidFill>
                <a:schemeClr val="tx1">
                  <a:lumMod val="85000"/>
                  <a:lumOff val="15000"/>
                </a:schemeClr>
              </a:solidFill>
              <a:latin typeface="Britannic Bold" panose="020B0903060703020204" pitchFamily="34" charset="0"/>
            </a:rPr>
            <a:t> PERFORMANCE DASHBOARD </a:t>
          </a:r>
          <a:r>
            <a:rPr lang="en-US" sz="1600" b="1" baseline="0">
              <a:solidFill>
                <a:schemeClr val="tx1">
                  <a:lumMod val="85000"/>
                  <a:lumOff val="15000"/>
                </a:schemeClr>
              </a:solidFill>
              <a:latin typeface="Cambria Math" panose="02040503050406030204" pitchFamily="18" charset="0"/>
              <a:ea typeface="Cambria Math" panose="02040503050406030204" pitchFamily="18" charset="0"/>
            </a:rPr>
            <a:t>(JAN --JUN 2025)                            </a:t>
          </a:r>
          <a:r>
            <a:rPr lang="en-US" sz="1200" b="1" baseline="0">
              <a:solidFill>
                <a:schemeClr val="tx1">
                  <a:lumMod val="85000"/>
                  <a:lumOff val="15000"/>
                </a:schemeClr>
              </a:solidFill>
              <a:latin typeface="Bradley Hand ITC" panose="03070402050302030203" pitchFamily="66" charset="0"/>
              <a:ea typeface="Cambria Math" panose="02040503050406030204" pitchFamily="18" charset="0"/>
            </a:rPr>
            <a:t>REPORT BY: CLAIRE COMAN</a:t>
          </a:r>
          <a:endParaRPr lang="en-US" sz="1200" b="1">
            <a:solidFill>
              <a:schemeClr val="tx1">
                <a:lumMod val="85000"/>
                <a:lumOff val="15000"/>
              </a:schemeClr>
            </a:solidFill>
            <a:latin typeface="Bradley Hand ITC" panose="03070402050302030203" pitchFamily="66" charset="0"/>
            <a:ea typeface="Cambria Math" panose="02040503050406030204" pitchFamily="18" charset="0"/>
          </a:endParaRPr>
        </a:p>
      </xdr:txBody>
    </xdr:sp>
    <xdr:clientData/>
  </xdr:twoCellAnchor>
  <xdr:twoCellAnchor>
    <xdr:from>
      <xdr:col>0</xdr:col>
      <xdr:colOff>238125</xdr:colOff>
      <xdr:row>0</xdr:row>
      <xdr:rowOff>66675</xdr:rowOff>
    </xdr:from>
    <xdr:to>
      <xdr:col>2</xdr:col>
      <xdr:colOff>504825</xdr:colOff>
      <xdr:row>28</xdr:row>
      <xdr:rowOff>47625</xdr:rowOff>
    </xdr:to>
    <xdr:sp macro="" textlink="">
      <xdr:nvSpPr>
        <xdr:cNvPr id="6" name="Rectangle 5">
          <a:extLst>
            <a:ext uri="{FF2B5EF4-FFF2-40B4-BE49-F238E27FC236}">
              <a16:creationId xmlns:a16="http://schemas.microsoft.com/office/drawing/2014/main" id="{92B470A6-A12C-AD72-041D-6988511AEDE0}"/>
            </a:ext>
          </a:extLst>
        </xdr:cNvPr>
        <xdr:cNvSpPr/>
      </xdr:nvSpPr>
      <xdr:spPr>
        <a:xfrm>
          <a:off x="238125" y="66675"/>
          <a:ext cx="1485900" cy="5400675"/>
        </a:xfrm>
        <a:prstGeom prst="rect">
          <a:avLst/>
        </a:prstGeom>
        <a:solidFill>
          <a:schemeClr val="bg1">
            <a:lumMod val="8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17</xdr:row>
      <xdr:rowOff>142875</xdr:rowOff>
    </xdr:from>
    <xdr:to>
      <xdr:col>20</xdr:col>
      <xdr:colOff>47625</xdr:colOff>
      <xdr:row>28</xdr:row>
      <xdr:rowOff>57150</xdr:rowOff>
    </xdr:to>
    <xdr:graphicFrame macro="">
      <xdr:nvGraphicFramePr>
        <xdr:cNvPr id="4" name="Chart 3">
          <a:extLst>
            <a:ext uri="{FF2B5EF4-FFF2-40B4-BE49-F238E27FC236}">
              <a16:creationId xmlns:a16="http://schemas.microsoft.com/office/drawing/2014/main" id="{BB4F8A22-2FA6-46A0-ACB8-28864F285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17</xdr:row>
      <xdr:rowOff>142875</xdr:rowOff>
    </xdr:from>
    <xdr:to>
      <xdr:col>14</xdr:col>
      <xdr:colOff>314325</xdr:colOff>
      <xdr:row>28</xdr:row>
      <xdr:rowOff>57150</xdr:rowOff>
    </xdr:to>
    <xdr:graphicFrame macro="">
      <xdr:nvGraphicFramePr>
        <xdr:cNvPr id="10" name="Chart 9">
          <a:extLst>
            <a:ext uri="{FF2B5EF4-FFF2-40B4-BE49-F238E27FC236}">
              <a16:creationId xmlns:a16="http://schemas.microsoft.com/office/drawing/2014/main" id="{DDAED277-9116-4E26-A43D-7ACC4EFFD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190499</xdr:colOff>
      <xdr:row>17</xdr:row>
      <xdr:rowOff>133350</xdr:rowOff>
    </xdr:from>
    <xdr:to>
      <xdr:col>8</xdr:col>
      <xdr:colOff>504824</xdr:colOff>
      <xdr:row>28</xdr:row>
      <xdr:rowOff>47625</xdr:rowOff>
    </xdr:to>
    <xdr:graphicFrame macro="">
      <xdr:nvGraphicFramePr>
        <xdr:cNvPr id="11" name="Chart 10">
          <a:extLst>
            <a:ext uri="{FF2B5EF4-FFF2-40B4-BE49-F238E27FC236}">
              <a16:creationId xmlns:a16="http://schemas.microsoft.com/office/drawing/2014/main" id="{80803B87-E4DB-4721-BEB5-969086120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7</xdr:row>
      <xdr:rowOff>85726</xdr:rowOff>
    </xdr:from>
    <xdr:to>
      <xdr:col>12</xdr:col>
      <xdr:colOff>209550</xdr:colOff>
      <xdr:row>17</xdr:row>
      <xdr:rowOff>85726</xdr:rowOff>
    </xdr:to>
    <xdr:graphicFrame macro="">
      <xdr:nvGraphicFramePr>
        <xdr:cNvPr id="17" name="Chart 16">
          <a:extLst>
            <a:ext uri="{FF2B5EF4-FFF2-40B4-BE49-F238E27FC236}">
              <a16:creationId xmlns:a16="http://schemas.microsoft.com/office/drawing/2014/main" id="{1C6F2B99-A6A5-4CBA-B81E-F950F30FE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3</xdr:row>
      <xdr:rowOff>28575</xdr:rowOff>
    </xdr:from>
    <xdr:to>
      <xdr:col>15</xdr:col>
      <xdr:colOff>123825</xdr:colOff>
      <xdr:row>7</xdr:row>
      <xdr:rowOff>47625</xdr:rowOff>
    </xdr:to>
    <xdr:sp macro="" textlink="">
      <xdr:nvSpPr>
        <xdr:cNvPr id="14" name="Rectangle: Rounded Corners 13">
          <a:extLst>
            <a:ext uri="{FF2B5EF4-FFF2-40B4-BE49-F238E27FC236}">
              <a16:creationId xmlns:a16="http://schemas.microsoft.com/office/drawing/2014/main" id="{6623C3D0-7D3C-F62F-A90A-37C79AD22C4C}"/>
            </a:ext>
          </a:extLst>
        </xdr:cNvPr>
        <xdr:cNvSpPr/>
      </xdr:nvSpPr>
      <xdr:spPr>
        <a:xfrm>
          <a:off x="7153275" y="600075"/>
          <a:ext cx="2257425" cy="86677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2">
                  <a:lumMod val="10000"/>
                </a:schemeClr>
              </a:solidFill>
              <a:effectLst/>
              <a:latin typeface="+mn-lt"/>
              <a:ea typeface="+mn-ea"/>
              <a:cs typeface="+mn-cs"/>
            </a:rPr>
            <a:t>TOTAL</a:t>
          </a:r>
          <a:r>
            <a:rPr lang="en-US" sz="1100" b="1" i="0" u="none" strike="noStrike" baseline="0">
              <a:solidFill>
                <a:schemeClr val="bg2">
                  <a:lumMod val="10000"/>
                </a:schemeClr>
              </a:solidFill>
              <a:effectLst/>
              <a:latin typeface="+mn-lt"/>
              <a:ea typeface="+mn-ea"/>
              <a:cs typeface="+mn-cs"/>
            </a:rPr>
            <a:t> PROFIT</a:t>
          </a:r>
          <a:r>
            <a:rPr lang="en-US">
              <a:solidFill>
                <a:schemeClr val="bg2">
                  <a:lumMod val="10000"/>
                </a:schemeClr>
              </a:solidFill>
              <a:effectLst/>
            </a:rPr>
            <a:t> </a:t>
          </a:r>
        </a:p>
        <a:p>
          <a:pPr algn="ctr"/>
          <a:r>
            <a:rPr lang="en-US" sz="2000" b="1" i="0" u="none" strike="noStrike">
              <a:solidFill>
                <a:schemeClr val="bg2">
                  <a:lumMod val="10000"/>
                </a:schemeClr>
              </a:solidFill>
              <a:effectLst/>
              <a:latin typeface="+mn-lt"/>
              <a:ea typeface="+mn-ea"/>
              <a:cs typeface="+mn-cs"/>
            </a:rPr>
            <a:t>  $  6,290.00 </a:t>
          </a:r>
          <a:endParaRPr lang="en-US" sz="2000">
            <a:solidFill>
              <a:schemeClr val="bg2">
                <a:lumMod val="10000"/>
              </a:schemeClr>
            </a:solidFill>
          </a:endParaRPr>
        </a:p>
      </xdr:txBody>
    </xdr:sp>
    <xdr:clientData/>
  </xdr:twoCellAnchor>
  <xdr:twoCellAnchor>
    <xdr:from>
      <xdr:col>7</xdr:col>
      <xdr:colOff>200025</xdr:colOff>
      <xdr:row>3</xdr:row>
      <xdr:rowOff>19050</xdr:rowOff>
    </xdr:from>
    <xdr:to>
      <xdr:col>10</xdr:col>
      <xdr:colOff>466725</xdr:colOff>
      <xdr:row>7</xdr:row>
      <xdr:rowOff>38100</xdr:rowOff>
    </xdr:to>
    <xdr:sp macro="" textlink="">
      <xdr:nvSpPr>
        <xdr:cNvPr id="15" name="Rectangle: Rounded Corners 14">
          <a:extLst>
            <a:ext uri="{FF2B5EF4-FFF2-40B4-BE49-F238E27FC236}">
              <a16:creationId xmlns:a16="http://schemas.microsoft.com/office/drawing/2014/main" id="{FA09A6CF-CABA-8759-FE7B-CD32F0BD4494}"/>
            </a:ext>
          </a:extLst>
        </xdr:cNvPr>
        <xdr:cNvSpPr/>
      </xdr:nvSpPr>
      <xdr:spPr>
        <a:xfrm>
          <a:off x="4410075" y="590550"/>
          <a:ext cx="2257425" cy="866775"/>
        </a:xfrm>
        <a:prstGeom prst="roundRect">
          <a:avLst/>
        </a:prstGeom>
        <a:solidFill>
          <a:schemeClr val="bg1">
            <a:lumMod val="85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2">
                  <a:lumMod val="10000"/>
                </a:schemeClr>
              </a:solidFill>
              <a:effectLst/>
              <a:latin typeface="+mn-lt"/>
              <a:ea typeface="+mn-ea"/>
              <a:cs typeface="+mn-cs"/>
            </a:rPr>
            <a:t>TOTAL</a:t>
          </a:r>
          <a:r>
            <a:rPr lang="en-US" sz="1100" b="1" i="0" u="none" strike="noStrike" baseline="0">
              <a:solidFill>
                <a:schemeClr val="bg2">
                  <a:lumMod val="10000"/>
                </a:schemeClr>
              </a:solidFill>
              <a:effectLst/>
              <a:latin typeface="+mn-lt"/>
              <a:ea typeface="+mn-ea"/>
              <a:cs typeface="+mn-cs"/>
            </a:rPr>
            <a:t> ORDER</a:t>
          </a:r>
          <a:r>
            <a:rPr lang="en-US">
              <a:solidFill>
                <a:schemeClr val="bg2">
                  <a:lumMod val="10000"/>
                </a:schemeClr>
              </a:solidFill>
              <a:effectLst/>
            </a:rPr>
            <a:t> </a:t>
          </a:r>
        </a:p>
        <a:p>
          <a:pPr algn="ctr"/>
          <a:r>
            <a:rPr lang="en-US" sz="1600" b="1" i="0" u="none" strike="noStrike">
              <a:solidFill>
                <a:schemeClr val="bg2">
                  <a:lumMod val="10000"/>
                </a:schemeClr>
              </a:solidFill>
              <a:effectLst/>
              <a:latin typeface="+mn-lt"/>
              <a:ea typeface="+mn-ea"/>
              <a:cs typeface="+mn-cs"/>
            </a:rPr>
            <a:t> </a:t>
          </a:r>
          <a:r>
            <a:rPr lang="en-US" sz="2000" b="1" i="0" u="none" strike="noStrike">
              <a:solidFill>
                <a:schemeClr val="bg2">
                  <a:lumMod val="10000"/>
                </a:schemeClr>
              </a:solidFill>
              <a:effectLst/>
              <a:latin typeface="+mn-lt"/>
              <a:ea typeface="+mn-ea"/>
              <a:cs typeface="+mn-cs"/>
            </a:rPr>
            <a:t>56</a:t>
          </a:r>
          <a:r>
            <a:rPr lang="en-US" sz="1600" b="1">
              <a:solidFill>
                <a:schemeClr val="bg2">
                  <a:lumMod val="10000"/>
                </a:schemeClr>
              </a:solidFill>
              <a:effectLst/>
            </a:rPr>
            <a:t> </a:t>
          </a:r>
          <a:r>
            <a:rPr lang="en-US" sz="1600" b="1" i="0" u="none" strike="noStrike">
              <a:solidFill>
                <a:schemeClr val="bg2">
                  <a:lumMod val="10000"/>
                </a:schemeClr>
              </a:solidFill>
              <a:effectLst/>
              <a:latin typeface="+mn-lt"/>
              <a:ea typeface="+mn-ea"/>
              <a:cs typeface="+mn-cs"/>
            </a:rPr>
            <a:t> </a:t>
          </a:r>
          <a:endParaRPr lang="en-US" sz="1600" b="1">
            <a:solidFill>
              <a:schemeClr val="bg2">
                <a:lumMod val="10000"/>
              </a:schemeClr>
            </a:solidFill>
          </a:endParaRPr>
        </a:p>
      </xdr:txBody>
    </xdr:sp>
    <xdr:clientData/>
  </xdr:twoCellAnchor>
  <xdr:twoCellAnchor>
    <xdr:from>
      <xdr:col>3</xdr:col>
      <xdr:colOff>161925</xdr:colOff>
      <xdr:row>3</xdr:row>
      <xdr:rowOff>19050</xdr:rowOff>
    </xdr:from>
    <xdr:to>
      <xdr:col>6</xdr:col>
      <xdr:colOff>514350</xdr:colOff>
      <xdr:row>7</xdr:row>
      <xdr:rowOff>38100</xdr:rowOff>
    </xdr:to>
    <xdr:sp macro="" textlink="">
      <xdr:nvSpPr>
        <xdr:cNvPr id="16" name="Rectangle: Rounded Corners 15">
          <a:extLst>
            <a:ext uri="{FF2B5EF4-FFF2-40B4-BE49-F238E27FC236}">
              <a16:creationId xmlns:a16="http://schemas.microsoft.com/office/drawing/2014/main" id="{8DCEB69C-460C-A3D1-4AA7-4DBA2D7F4A73}"/>
            </a:ext>
          </a:extLst>
        </xdr:cNvPr>
        <xdr:cNvSpPr/>
      </xdr:nvSpPr>
      <xdr:spPr>
        <a:xfrm>
          <a:off x="1990725" y="590550"/>
          <a:ext cx="2124075" cy="86677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i="0" u="none" strike="noStrike">
              <a:solidFill>
                <a:schemeClr val="bg2">
                  <a:lumMod val="10000"/>
                </a:schemeClr>
              </a:solidFill>
              <a:effectLst/>
              <a:latin typeface="+mn-lt"/>
              <a:ea typeface="+mn-ea"/>
              <a:cs typeface="+mn-cs"/>
            </a:rPr>
            <a:t>TOTAL</a:t>
          </a:r>
          <a:r>
            <a:rPr lang="en-US" sz="1100" b="1" i="0" u="none" strike="noStrike" baseline="0">
              <a:solidFill>
                <a:schemeClr val="bg2">
                  <a:lumMod val="10000"/>
                </a:schemeClr>
              </a:solidFill>
              <a:effectLst/>
              <a:latin typeface="+mn-lt"/>
              <a:ea typeface="+mn-ea"/>
              <a:cs typeface="+mn-cs"/>
            </a:rPr>
            <a:t> REVENUE</a:t>
          </a:r>
          <a:r>
            <a:rPr lang="en-US">
              <a:solidFill>
                <a:schemeClr val="bg2">
                  <a:lumMod val="10000"/>
                </a:schemeClr>
              </a:solidFill>
              <a:effectLst/>
            </a:rPr>
            <a:t> </a:t>
          </a:r>
        </a:p>
        <a:p>
          <a:pPr algn="ctr"/>
          <a:r>
            <a:rPr lang="en-US" sz="1600" b="1" i="0" u="none" strike="noStrike">
              <a:solidFill>
                <a:schemeClr val="bg2">
                  <a:lumMod val="10000"/>
                </a:schemeClr>
              </a:solidFill>
              <a:effectLst/>
              <a:latin typeface="+mn-lt"/>
              <a:ea typeface="+mn-ea"/>
              <a:cs typeface="+mn-cs"/>
            </a:rPr>
            <a:t> </a:t>
          </a:r>
          <a:r>
            <a:rPr lang="en-US" sz="2000" b="1" i="0" u="none" strike="noStrike">
              <a:solidFill>
                <a:schemeClr val="bg2">
                  <a:lumMod val="10000"/>
                </a:schemeClr>
              </a:solidFill>
              <a:effectLst/>
              <a:latin typeface="+mn-lt"/>
              <a:ea typeface="+mn-ea"/>
              <a:cs typeface="+mn-cs"/>
            </a:rPr>
            <a:t>$  23,540.00 </a:t>
          </a:r>
          <a:endParaRPr lang="en-US" sz="2000" b="1">
            <a:solidFill>
              <a:schemeClr val="bg2">
                <a:lumMod val="10000"/>
              </a:schemeClr>
            </a:solidFill>
          </a:endParaRPr>
        </a:p>
      </xdr:txBody>
    </xdr:sp>
    <xdr:clientData/>
  </xdr:twoCellAnchor>
  <xdr:twoCellAnchor>
    <xdr:from>
      <xdr:col>12</xdr:col>
      <xdr:colOff>361950</xdr:colOff>
      <xdr:row>7</xdr:row>
      <xdr:rowOff>85724</xdr:rowOff>
    </xdr:from>
    <xdr:to>
      <xdr:col>20</xdr:col>
      <xdr:colOff>19050</xdr:colOff>
      <xdr:row>17</xdr:row>
      <xdr:rowOff>104775</xdr:rowOff>
    </xdr:to>
    <xdr:graphicFrame macro="">
      <xdr:nvGraphicFramePr>
        <xdr:cNvPr id="18" name="Chart 17">
          <a:extLst>
            <a:ext uri="{FF2B5EF4-FFF2-40B4-BE49-F238E27FC236}">
              <a16:creationId xmlns:a16="http://schemas.microsoft.com/office/drawing/2014/main" id="{B128F95B-98FD-43AC-8F01-83AC7CEE3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257175</xdr:colOff>
      <xdr:row>0</xdr:row>
      <xdr:rowOff>85726</xdr:rowOff>
    </xdr:from>
    <xdr:to>
      <xdr:col>2</xdr:col>
      <xdr:colOff>476250</xdr:colOff>
      <xdr:row>10</xdr:row>
      <xdr:rowOff>28575</xdr:rowOff>
    </xdr:to>
    <mc:AlternateContent xmlns:mc="http://schemas.openxmlformats.org/markup-compatibility/2006">
      <mc:Choice xmlns:a14="http://schemas.microsoft.com/office/drawing/2010/main" Requires="a14">
        <xdr:graphicFrame macro="">
          <xdr:nvGraphicFramePr>
            <xdr:cNvPr id="19" name="Year_month 1">
              <a:extLst>
                <a:ext uri="{FF2B5EF4-FFF2-40B4-BE49-F238E27FC236}">
                  <a16:creationId xmlns:a16="http://schemas.microsoft.com/office/drawing/2014/main" id="{AC139AC2-BF1B-48C4-AC71-657D735335B9}"/>
                </a:ext>
              </a:extLst>
            </xdr:cNvPr>
            <xdr:cNvGraphicFramePr/>
          </xdr:nvGraphicFramePr>
          <xdr:xfrm>
            <a:off x="0" y="0"/>
            <a:ext cx="0" cy="0"/>
          </xdr:xfrm>
          <a:graphic>
            <a:graphicData uri="http://schemas.microsoft.com/office/drawing/2010/slicer">
              <sle:slicer xmlns:sle="http://schemas.microsoft.com/office/drawing/2010/slicer" name="Year_month 1"/>
            </a:graphicData>
          </a:graphic>
        </xdr:graphicFrame>
      </mc:Choice>
      <mc:Fallback>
        <xdr:sp macro="" textlink="">
          <xdr:nvSpPr>
            <xdr:cNvPr id="0" name=""/>
            <xdr:cNvSpPr>
              <a:spLocks noTextEdit="1"/>
            </xdr:cNvSpPr>
          </xdr:nvSpPr>
          <xdr:spPr>
            <a:xfrm>
              <a:off x="257175" y="85726"/>
              <a:ext cx="1438275" cy="1933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10</xdr:row>
      <xdr:rowOff>19051</xdr:rowOff>
    </xdr:from>
    <xdr:to>
      <xdr:col>2</xdr:col>
      <xdr:colOff>485775</xdr:colOff>
      <xdr:row>17</xdr:row>
      <xdr:rowOff>57151</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048DAEBA-10BD-4AD0-84EE-80E97D13348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6225" y="2009776"/>
              <a:ext cx="142875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276224</xdr:colOff>
      <xdr:row>17</xdr:row>
      <xdr:rowOff>66676</xdr:rowOff>
    </xdr:from>
    <xdr:to>
      <xdr:col>2</xdr:col>
      <xdr:colOff>495299</xdr:colOff>
      <xdr:row>23</xdr:row>
      <xdr:rowOff>57150</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915C9168-976A-4742-BDEC-D770A4B01AC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76224" y="3390901"/>
              <a:ext cx="1438275"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247650</xdr:colOff>
      <xdr:row>23</xdr:row>
      <xdr:rowOff>85725</xdr:rowOff>
    </xdr:from>
    <xdr:to>
      <xdr:col>2</xdr:col>
      <xdr:colOff>495300</xdr:colOff>
      <xdr:row>28</xdr:row>
      <xdr:rowOff>38101</xdr:rowOff>
    </xdr:to>
    <xdr:sp macro="" textlink="">
      <xdr:nvSpPr>
        <xdr:cNvPr id="1025" name="Text Box 1">
          <a:extLst>
            <a:ext uri="{FF2B5EF4-FFF2-40B4-BE49-F238E27FC236}">
              <a16:creationId xmlns:a16="http://schemas.microsoft.com/office/drawing/2014/main" id="{F7BEEA69-1425-9551-7133-1116193A93E5}"/>
            </a:ext>
          </a:extLst>
        </xdr:cNvPr>
        <xdr:cNvSpPr txBox="1">
          <a:spLocks noChangeArrowheads="1"/>
        </xdr:cNvSpPr>
      </xdr:nvSpPr>
      <xdr:spPr bwMode="auto">
        <a:xfrm>
          <a:off x="247650" y="4552950"/>
          <a:ext cx="1466850" cy="904876"/>
        </a:xfrm>
        <a:prstGeom prst="rect">
          <a:avLst/>
        </a:prstGeom>
        <a:solidFill>
          <a:schemeClr val="bg1">
            <a:lumMod val="85000"/>
          </a:schemeClr>
        </a:solidFill>
        <a:ln w="9525">
          <a:noFill/>
          <a:miter lim="800000"/>
          <a:headEnd/>
          <a:tailEnd/>
        </a:ln>
      </xdr:spPr>
      <xdr:txBody>
        <a:bodyPr vertOverflow="clip" wrap="square" lIns="27432" tIns="27432" rIns="0" bIns="0" anchor="t" upright="1"/>
        <a:lstStyle/>
        <a:p>
          <a:pPr algn="l" rtl="0">
            <a:defRPr sz="1000"/>
          </a:pPr>
          <a:r>
            <a:rPr lang="en-US" sz="1050" b="1" i="0" u="none" strike="noStrike" baseline="0">
              <a:solidFill>
                <a:srgbClr val="000000"/>
              </a:solidFill>
              <a:latin typeface="Bahnschrift SemiCondensed" panose="020B0502040204020203" pitchFamily="34" charset="0"/>
              <a:ea typeface="Calibri"/>
              <a:cs typeface="Arial" panose="020B0604020202020204" pitchFamily="34" charset="0"/>
            </a:rPr>
            <a:t>Key Insight</a:t>
          </a:r>
          <a:endParaRPr lang="en-US" sz="1000" b="0" i="0" u="none" strike="noStrike" baseline="0">
            <a:solidFill>
              <a:srgbClr val="000000"/>
            </a:solidFill>
            <a:latin typeface="+mn-lt"/>
            <a:ea typeface="Calibri"/>
            <a:cs typeface="Arial" panose="020B0604020202020204" pitchFamily="34" charset="0"/>
          </a:endParaRPr>
        </a:p>
        <a:p>
          <a:pPr algn="l" rtl="0">
            <a:defRPr sz="1000"/>
          </a:pPr>
          <a:r>
            <a:rPr lang="en-US" sz="1000" b="0" i="0" u="none" strike="noStrike" baseline="0">
              <a:solidFill>
                <a:srgbClr val="000000"/>
              </a:solidFill>
              <a:latin typeface="+mn-lt"/>
              <a:ea typeface="Calibri"/>
              <a:cs typeface="Calibri"/>
            </a:rPr>
            <a:t>Revenue shows gradual decline from january to june, indicating weakening sales momentum.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83.491166203705" createdVersion="8" refreshedVersion="8" minRefreshableVersion="3" recordCount="56" xr:uid="{BC02A47B-07FA-44B7-83BC-56EA7B76AB48}">
  <cacheSource type="worksheet">
    <worksheetSource name="Table1"/>
  </cacheSource>
  <cacheFields count="13">
    <cacheField name="Order_ID" numFmtId="0">
      <sharedItems containsSemiMixedTypes="0" containsString="0" containsNumber="1" containsInteger="1" minValue="2001" maxValue="2056"/>
    </cacheField>
    <cacheField name="Order_Date" numFmtId="14">
      <sharedItems containsSemiMixedTypes="0" containsNonDate="0" containsDate="1" containsString="0" minDate="2025-01-03T00:00:00" maxDate="2025-06-30T00:00:00"/>
    </cacheField>
    <cacheField name="Customer_Name" numFmtId="0">
      <sharedItems count="16">
        <s v="James Carter"/>
        <s v="Sarah Lee"/>
        <s v="David Kim"/>
        <s v="Emily Stone"/>
        <s v="Michael Brown"/>
        <s v="Olivia White"/>
        <s v="Daniel Green"/>
        <s v="Sophia Adams"/>
        <s v="Liam Scott"/>
        <s v="Ava Turner"/>
        <s v="Noah Harris"/>
        <s v="Isabella Clark"/>
        <s v="Lucas Lewis"/>
        <s v="Mia Walker"/>
        <s v="Ethan Hall"/>
        <s v="Charlotte Young"/>
      </sharedItems>
    </cacheField>
    <cacheField name="Region" numFmtId="0">
      <sharedItems count="4">
        <s v="North"/>
        <s v="South"/>
        <s v="West"/>
        <s v="East"/>
      </sharedItems>
    </cacheField>
    <cacheField name="Category" numFmtId="0">
      <sharedItems count="3">
        <s v="Electronics"/>
        <s v="Apparel"/>
        <s v="Footwear"/>
      </sharedItems>
    </cacheField>
    <cacheField name="Product" numFmtId="0">
      <sharedItems/>
    </cacheField>
    <cacheField name="Quantity" numFmtId="0">
      <sharedItems containsSemiMixedTypes="0" containsString="0" containsNumber="1" containsInteger="1" minValue="1" maxValue="6"/>
    </cacheField>
    <cacheField name="Unit_Price" numFmtId="44">
      <sharedItems containsSemiMixedTypes="0" containsString="0" containsNumber="1" containsInteger="1" minValue="30" maxValue="900"/>
    </cacheField>
    <cacheField name="Total_Revenue" numFmtId="44">
      <sharedItems containsSemiMixedTypes="0" containsString="0" containsNumber="1" containsInteger="1" minValue="90" maxValue="1300"/>
    </cacheField>
    <cacheField name="Cost" numFmtId="44">
      <sharedItems containsSemiMixedTypes="0" containsString="0" containsNumber="1" containsInteger="1" minValue="60" maxValue="1000"/>
    </cacheField>
    <cacheField name="Profit" numFmtId="44">
      <sharedItems containsSemiMixedTypes="0" containsString="0" containsNumber="1" containsInteger="1" minValue="30" maxValue="300"/>
    </cacheField>
    <cacheField name="Payment_Method" numFmtId="0">
      <sharedItems count="3">
        <s v="Card"/>
        <s v="Cash"/>
        <s v="Transfer"/>
      </sharedItems>
    </cacheField>
    <cacheField name="Year_month" numFmtId="0">
      <sharedItems count="6">
        <s v="2025-01"/>
        <s v="2025-02"/>
        <s v="2025-03"/>
        <s v="2025-04"/>
        <s v="2025-05"/>
        <s v="2025-06"/>
      </sharedItems>
    </cacheField>
  </cacheFields>
  <extLst>
    <ext xmlns:x14="http://schemas.microsoft.com/office/spreadsheetml/2009/9/main" uri="{725AE2AE-9491-48be-B2B4-4EB974FC3084}">
      <x14:pivotCacheDefinition pivotCacheId="262090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n v="2001"/>
    <d v="2025-01-03T00:00:00"/>
    <x v="0"/>
    <x v="0"/>
    <x v="0"/>
    <s v="Laptop"/>
    <n v="1"/>
    <n v="900"/>
    <n v="900"/>
    <n v="720"/>
    <n v="180"/>
    <x v="0"/>
    <x v="0"/>
  </r>
  <r>
    <n v="2002"/>
    <d v="2025-01-07T00:00:00"/>
    <x v="1"/>
    <x v="1"/>
    <x v="1"/>
    <s v="Jacket"/>
    <n v="2"/>
    <n v="75"/>
    <n v="150"/>
    <n v="100"/>
    <n v="50"/>
    <x v="1"/>
    <x v="0"/>
  </r>
  <r>
    <n v="2003"/>
    <d v="2025-01-11T00:00:00"/>
    <x v="2"/>
    <x v="2"/>
    <x v="2"/>
    <s v="Sneakers"/>
    <n v="3"/>
    <n v="95"/>
    <n v="285"/>
    <n v="210"/>
    <n v="75"/>
    <x v="0"/>
    <x v="0"/>
  </r>
  <r>
    <n v="2004"/>
    <d v="2025-01-15T00:00:00"/>
    <x v="3"/>
    <x v="3"/>
    <x v="0"/>
    <s v="Tablet"/>
    <n v="1"/>
    <n v="450"/>
    <n v="450"/>
    <n v="350"/>
    <n v="100"/>
    <x v="2"/>
    <x v="0"/>
  </r>
  <r>
    <n v="2005"/>
    <d v="2025-01-19T00:00:00"/>
    <x v="4"/>
    <x v="0"/>
    <x v="1"/>
    <s v="T-Shirt"/>
    <n v="4"/>
    <n v="30"/>
    <n v="120"/>
    <n v="70"/>
    <n v="50"/>
    <x v="1"/>
    <x v="0"/>
  </r>
  <r>
    <n v="2006"/>
    <d v="2025-01-23T00:00:00"/>
    <x v="5"/>
    <x v="1"/>
    <x v="2"/>
    <s v="Boots"/>
    <n v="2"/>
    <n v="140"/>
    <n v="280"/>
    <n v="200"/>
    <n v="80"/>
    <x v="0"/>
    <x v="0"/>
  </r>
  <r>
    <n v="2007"/>
    <d v="2025-01-28T00:00:00"/>
    <x v="6"/>
    <x v="2"/>
    <x v="0"/>
    <s v="Phone"/>
    <n v="2"/>
    <n v="650"/>
    <n v="1300"/>
    <n v="1000"/>
    <n v="300"/>
    <x v="0"/>
    <x v="0"/>
  </r>
  <r>
    <n v="2008"/>
    <d v="2025-02-02T00:00:00"/>
    <x v="7"/>
    <x v="3"/>
    <x v="1"/>
    <s v="Dress"/>
    <n v="2"/>
    <n v="95"/>
    <n v="190"/>
    <n v="120"/>
    <n v="70"/>
    <x v="2"/>
    <x v="1"/>
  </r>
  <r>
    <n v="2009"/>
    <d v="2025-02-05T00:00:00"/>
    <x v="8"/>
    <x v="0"/>
    <x v="2"/>
    <s v="Sandals"/>
    <n v="5"/>
    <n v="45"/>
    <n v="225"/>
    <n v="140"/>
    <n v="85"/>
    <x v="1"/>
    <x v="1"/>
  </r>
  <r>
    <n v="2010"/>
    <d v="2025-02-09T00:00:00"/>
    <x v="9"/>
    <x v="1"/>
    <x v="0"/>
    <s v="Monitor"/>
    <n v="3"/>
    <n v="280"/>
    <n v="840"/>
    <n v="600"/>
    <n v="240"/>
    <x v="0"/>
    <x v="1"/>
  </r>
  <r>
    <n v="2011"/>
    <d v="2025-02-13T00:00:00"/>
    <x v="10"/>
    <x v="2"/>
    <x v="1"/>
    <s v="Jeans"/>
    <n v="2"/>
    <n v="80"/>
    <n v="160"/>
    <n v="110"/>
    <n v="50"/>
    <x v="1"/>
    <x v="1"/>
  </r>
  <r>
    <n v="2012"/>
    <d v="2025-02-17T00:00:00"/>
    <x v="11"/>
    <x v="3"/>
    <x v="0"/>
    <s v="Headphones"/>
    <n v="4"/>
    <n v="130"/>
    <n v="520"/>
    <n v="320"/>
    <n v="200"/>
    <x v="2"/>
    <x v="1"/>
  </r>
  <r>
    <n v="2013"/>
    <d v="2025-02-21T00:00:00"/>
    <x v="12"/>
    <x v="0"/>
    <x v="2"/>
    <s v="Sneakers"/>
    <n v="2"/>
    <n v="100"/>
    <n v="200"/>
    <n v="150"/>
    <n v="50"/>
    <x v="0"/>
    <x v="1"/>
  </r>
  <r>
    <n v="2014"/>
    <d v="2025-02-25T00:00:00"/>
    <x v="13"/>
    <x v="1"/>
    <x v="1"/>
    <s v="Blouse"/>
    <n v="3"/>
    <n v="60"/>
    <n v="180"/>
    <n v="120"/>
    <n v="60"/>
    <x v="1"/>
    <x v="1"/>
  </r>
  <r>
    <n v="2015"/>
    <d v="2025-03-01T00:00:00"/>
    <x v="14"/>
    <x v="2"/>
    <x v="0"/>
    <s v="Smartwatch"/>
    <n v="2"/>
    <n v="250"/>
    <n v="500"/>
    <n v="350"/>
    <n v="150"/>
    <x v="2"/>
    <x v="2"/>
  </r>
  <r>
    <n v="2016"/>
    <d v="2025-03-04T00:00:00"/>
    <x v="15"/>
    <x v="3"/>
    <x v="2"/>
    <s v="Boots"/>
    <n v="1"/>
    <n v="160"/>
    <n v="160"/>
    <n v="110"/>
    <n v="50"/>
    <x v="0"/>
    <x v="2"/>
  </r>
  <r>
    <n v="2017"/>
    <d v="2025-03-08T00:00:00"/>
    <x v="0"/>
    <x v="0"/>
    <x v="0"/>
    <s v="Laptop"/>
    <n v="1"/>
    <n v="900"/>
    <n v="900"/>
    <n v="720"/>
    <n v="180"/>
    <x v="2"/>
    <x v="2"/>
  </r>
  <r>
    <n v="2018"/>
    <d v="2025-03-12T00:00:00"/>
    <x v="1"/>
    <x v="1"/>
    <x v="1"/>
    <s v="Jacket"/>
    <n v="3"/>
    <n v="75"/>
    <n v="225"/>
    <n v="150"/>
    <n v="75"/>
    <x v="1"/>
    <x v="2"/>
  </r>
  <r>
    <n v="2019"/>
    <d v="2025-03-16T00:00:00"/>
    <x v="2"/>
    <x v="2"/>
    <x v="0"/>
    <s v="Tablet"/>
    <n v="2"/>
    <n v="450"/>
    <n v="900"/>
    <n v="700"/>
    <n v="200"/>
    <x v="0"/>
    <x v="2"/>
  </r>
  <r>
    <n v="2020"/>
    <d v="2025-03-20T00:00:00"/>
    <x v="3"/>
    <x v="3"/>
    <x v="2"/>
    <s v="Sneakers"/>
    <n v="2"/>
    <n v="95"/>
    <n v="190"/>
    <n v="130"/>
    <n v="60"/>
    <x v="2"/>
    <x v="2"/>
  </r>
  <r>
    <n v="2021"/>
    <d v="2025-03-24T00:00:00"/>
    <x v="4"/>
    <x v="0"/>
    <x v="0"/>
    <s v="Phone"/>
    <n v="1"/>
    <n v="650"/>
    <n v="650"/>
    <n v="500"/>
    <n v="150"/>
    <x v="0"/>
    <x v="2"/>
  </r>
  <r>
    <n v="2022"/>
    <d v="2025-03-29T00:00:00"/>
    <x v="5"/>
    <x v="1"/>
    <x v="1"/>
    <s v="Dress"/>
    <n v="2"/>
    <n v="95"/>
    <n v="190"/>
    <n v="120"/>
    <n v="70"/>
    <x v="1"/>
    <x v="2"/>
  </r>
  <r>
    <n v="2023"/>
    <d v="2025-04-02T00:00:00"/>
    <x v="6"/>
    <x v="2"/>
    <x v="2"/>
    <s v="Sandals"/>
    <n v="4"/>
    <n v="45"/>
    <n v="180"/>
    <n v="110"/>
    <n v="70"/>
    <x v="0"/>
    <x v="3"/>
  </r>
  <r>
    <n v="2024"/>
    <d v="2025-04-06T00:00:00"/>
    <x v="7"/>
    <x v="3"/>
    <x v="0"/>
    <s v="Monitor"/>
    <n v="1"/>
    <n v="280"/>
    <n v="280"/>
    <n v="190"/>
    <n v="90"/>
    <x v="2"/>
    <x v="3"/>
  </r>
  <r>
    <n v="2025"/>
    <d v="2025-04-10T00:00:00"/>
    <x v="8"/>
    <x v="0"/>
    <x v="1"/>
    <s v="T-Shirt"/>
    <n v="6"/>
    <n v="30"/>
    <n v="180"/>
    <n v="110"/>
    <n v="70"/>
    <x v="1"/>
    <x v="3"/>
  </r>
  <r>
    <n v="2026"/>
    <d v="2025-04-14T00:00:00"/>
    <x v="9"/>
    <x v="1"/>
    <x v="0"/>
    <s v="Laptop"/>
    <n v="1"/>
    <n v="900"/>
    <n v="900"/>
    <n v="720"/>
    <n v="180"/>
    <x v="0"/>
    <x v="3"/>
  </r>
  <r>
    <n v="2027"/>
    <d v="2025-04-18T00:00:00"/>
    <x v="10"/>
    <x v="2"/>
    <x v="2"/>
    <s v="Boots"/>
    <n v="2"/>
    <n v="160"/>
    <n v="320"/>
    <n v="220"/>
    <n v="100"/>
    <x v="2"/>
    <x v="3"/>
  </r>
  <r>
    <n v="2028"/>
    <d v="2025-04-22T00:00:00"/>
    <x v="11"/>
    <x v="3"/>
    <x v="0"/>
    <s v="Headphones"/>
    <n v="3"/>
    <n v="130"/>
    <n v="390"/>
    <n v="250"/>
    <n v="140"/>
    <x v="0"/>
    <x v="3"/>
  </r>
  <r>
    <n v="2029"/>
    <d v="2025-04-26T00:00:00"/>
    <x v="12"/>
    <x v="0"/>
    <x v="1"/>
    <s v="Jeans"/>
    <n v="2"/>
    <n v="80"/>
    <n v="160"/>
    <n v="110"/>
    <n v="50"/>
    <x v="1"/>
    <x v="3"/>
  </r>
  <r>
    <n v="2030"/>
    <d v="2025-04-30T00:00:00"/>
    <x v="13"/>
    <x v="1"/>
    <x v="0"/>
    <s v="Smartwatch"/>
    <n v="1"/>
    <n v="250"/>
    <n v="250"/>
    <n v="170"/>
    <n v="80"/>
    <x v="2"/>
    <x v="3"/>
  </r>
  <r>
    <n v="2031"/>
    <d v="2025-05-03T00:00:00"/>
    <x v="14"/>
    <x v="2"/>
    <x v="0"/>
    <s v="Phone"/>
    <n v="2"/>
    <n v="650"/>
    <n v="1300"/>
    <n v="1000"/>
    <n v="300"/>
    <x v="0"/>
    <x v="4"/>
  </r>
  <r>
    <n v="2032"/>
    <d v="2025-05-07T00:00:00"/>
    <x v="15"/>
    <x v="3"/>
    <x v="1"/>
    <s v="Blouse"/>
    <n v="2"/>
    <n v="60"/>
    <n v="120"/>
    <n v="80"/>
    <n v="40"/>
    <x v="1"/>
    <x v="4"/>
  </r>
  <r>
    <n v="2033"/>
    <d v="2025-05-11T00:00:00"/>
    <x v="0"/>
    <x v="0"/>
    <x v="2"/>
    <s v="Sneakers"/>
    <n v="4"/>
    <n v="100"/>
    <n v="400"/>
    <n v="300"/>
    <n v="100"/>
    <x v="0"/>
    <x v="4"/>
  </r>
  <r>
    <n v="2034"/>
    <d v="2025-05-15T00:00:00"/>
    <x v="1"/>
    <x v="1"/>
    <x v="0"/>
    <s v="Tablet"/>
    <n v="1"/>
    <n v="450"/>
    <n v="450"/>
    <n v="350"/>
    <n v="100"/>
    <x v="2"/>
    <x v="4"/>
  </r>
  <r>
    <n v="2035"/>
    <d v="2025-05-19T00:00:00"/>
    <x v="2"/>
    <x v="2"/>
    <x v="1"/>
    <s v="Jacket"/>
    <n v="2"/>
    <n v="75"/>
    <n v="150"/>
    <n v="100"/>
    <n v="50"/>
    <x v="1"/>
    <x v="4"/>
  </r>
  <r>
    <n v="2036"/>
    <d v="2025-05-23T00:00:00"/>
    <x v="3"/>
    <x v="3"/>
    <x v="0"/>
    <s v="Laptop"/>
    <n v="1"/>
    <n v="900"/>
    <n v="900"/>
    <n v="720"/>
    <n v="180"/>
    <x v="0"/>
    <x v="4"/>
  </r>
  <r>
    <n v="2037"/>
    <d v="2025-05-27T00:00:00"/>
    <x v="4"/>
    <x v="0"/>
    <x v="2"/>
    <s v="Sandals"/>
    <n v="3"/>
    <n v="45"/>
    <n v="135"/>
    <n v="90"/>
    <n v="45"/>
    <x v="2"/>
    <x v="4"/>
  </r>
  <r>
    <n v="2038"/>
    <d v="2025-05-30T00:00:00"/>
    <x v="5"/>
    <x v="1"/>
    <x v="0"/>
    <s v="Monitor"/>
    <n v="2"/>
    <n v="280"/>
    <n v="560"/>
    <n v="400"/>
    <n v="160"/>
    <x v="0"/>
    <x v="4"/>
  </r>
  <r>
    <n v="2039"/>
    <d v="2025-06-02T00:00:00"/>
    <x v="6"/>
    <x v="2"/>
    <x v="1"/>
    <s v="T-Shirt"/>
    <n v="5"/>
    <n v="30"/>
    <n v="150"/>
    <n v="90"/>
    <n v="60"/>
    <x v="1"/>
    <x v="5"/>
  </r>
  <r>
    <n v="2040"/>
    <d v="2025-06-05T00:00:00"/>
    <x v="7"/>
    <x v="3"/>
    <x v="0"/>
    <s v="Smartwatch"/>
    <n v="2"/>
    <n v="250"/>
    <n v="500"/>
    <n v="350"/>
    <n v="150"/>
    <x v="2"/>
    <x v="5"/>
  </r>
  <r>
    <n v="2041"/>
    <d v="2025-06-08T00:00:00"/>
    <x v="8"/>
    <x v="0"/>
    <x v="0"/>
    <s v="Phone"/>
    <n v="1"/>
    <n v="650"/>
    <n v="650"/>
    <n v="500"/>
    <n v="150"/>
    <x v="0"/>
    <x v="5"/>
  </r>
  <r>
    <n v="2042"/>
    <d v="2025-06-11T00:00:00"/>
    <x v="9"/>
    <x v="1"/>
    <x v="2"/>
    <s v="Boots"/>
    <n v="2"/>
    <n v="160"/>
    <n v="320"/>
    <n v="220"/>
    <n v="100"/>
    <x v="1"/>
    <x v="5"/>
  </r>
  <r>
    <n v="2043"/>
    <d v="2025-06-14T00:00:00"/>
    <x v="10"/>
    <x v="2"/>
    <x v="0"/>
    <s v="Tablet"/>
    <n v="2"/>
    <n v="450"/>
    <n v="900"/>
    <n v="700"/>
    <n v="200"/>
    <x v="0"/>
    <x v="5"/>
  </r>
  <r>
    <n v="2044"/>
    <d v="2025-06-17T00:00:00"/>
    <x v="11"/>
    <x v="3"/>
    <x v="1"/>
    <s v="Dress"/>
    <n v="3"/>
    <n v="95"/>
    <n v="285"/>
    <n v="200"/>
    <n v="85"/>
    <x v="2"/>
    <x v="5"/>
  </r>
  <r>
    <n v="2045"/>
    <d v="2025-06-20T00:00:00"/>
    <x v="12"/>
    <x v="0"/>
    <x v="0"/>
    <s v="Headphones"/>
    <n v="4"/>
    <n v="130"/>
    <n v="520"/>
    <n v="320"/>
    <n v="200"/>
    <x v="0"/>
    <x v="5"/>
  </r>
  <r>
    <n v="2046"/>
    <d v="2025-06-23T00:00:00"/>
    <x v="13"/>
    <x v="1"/>
    <x v="2"/>
    <s v="Sneakers"/>
    <n v="3"/>
    <n v="95"/>
    <n v="285"/>
    <n v="210"/>
    <n v="75"/>
    <x v="1"/>
    <x v="5"/>
  </r>
  <r>
    <n v="2047"/>
    <d v="2025-06-25T00:00:00"/>
    <x v="14"/>
    <x v="2"/>
    <x v="0"/>
    <s v="Laptop"/>
    <n v="1"/>
    <n v="900"/>
    <n v="900"/>
    <n v="720"/>
    <n v="180"/>
    <x v="2"/>
    <x v="5"/>
  </r>
  <r>
    <n v="2048"/>
    <d v="2025-06-27T00:00:00"/>
    <x v="15"/>
    <x v="3"/>
    <x v="1"/>
    <s v="Jeans"/>
    <n v="2"/>
    <n v="80"/>
    <n v="160"/>
    <n v="110"/>
    <n v="50"/>
    <x v="0"/>
    <x v="5"/>
  </r>
  <r>
    <n v="2049"/>
    <d v="2025-06-28T00:00:00"/>
    <x v="0"/>
    <x v="0"/>
    <x v="0"/>
    <s v="Monitor"/>
    <n v="2"/>
    <n v="280"/>
    <n v="560"/>
    <n v="400"/>
    <n v="160"/>
    <x v="2"/>
    <x v="5"/>
  </r>
  <r>
    <n v="2050"/>
    <d v="2025-06-29T00:00:00"/>
    <x v="1"/>
    <x v="1"/>
    <x v="0"/>
    <s v="Phone"/>
    <n v="1"/>
    <n v="650"/>
    <n v="650"/>
    <n v="500"/>
    <n v="150"/>
    <x v="0"/>
    <x v="5"/>
  </r>
  <r>
    <n v="2051"/>
    <d v="2025-01-30T00:00:00"/>
    <x v="12"/>
    <x v="2"/>
    <x v="1"/>
    <s v="T-Shirt"/>
    <n v="3"/>
    <n v="30"/>
    <n v="90"/>
    <n v="60"/>
    <n v="30"/>
    <x v="1"/>
    <x v="0"/>
  </r>
  <r>
    <n v="2052"/>
    <d v="2025-02-28T00:00:00"/>
    <x v="13"/>
    <x v="3"/>
    <x v="2"/>
    <s v="Sneakers"/>
    <n v="2"/>
    <n v="95"/>
    <n v="190"/>
    <n v="130"/>
    <n v="60"/>
    <x v="0"/>
    <x v="1"/>
  </r>
  <r>
    <n v="2053"/>
    <d v="2025-03-31T00:00:00"/>
    <x v="14"/>
    <x v="0"/>
    <x v="0"/>
    <s v="Headphones"/>
    <n v="3"/>
    <n v="130"/>
    <n v="390"/>
    <n v="250"/>
    <n v="140"/>
    <x v="2"/>
    <x v="2"/>
  </r>
  <r>
    <n v="2054"/>
    <d v="2025-04-01T00:00:00"/>
    <x v="15"/>
    <x v="1"/>
    <x v="1"/>
    <s v="Dress"/>
    <n v="2"/>
    <n v="95"/>
    <n v="190"/>
    <n v="120"/>
    <n v="70"/>
    <x v="1"/>
    <x v="3"/>
  </r>
  <r>
    <n v="2055"/>
    <d v="2025-05-01T00:00:00"/>
    <x v="0"/>
    <x v="2"/>
    <x v="0"/>
    <s v="Tablet"/>
    <n v="1"/>
    <n v="450"/>
    <n v="450"/>
    <n v="350"/>
    <n v="100"/>
    <x v="0"/>
    <x v="4"/>
  </r>
  <r>
    <n v="2056"/>
    <d v="2025-06-01T00:00:00"/>
    <x v="1"/>
    <x v="3"/>
    <x v="2"/>
    <s v="Boots"/>
    <n v="1"/>
    <n v="160"/>
    <n v="160"/>
    <n v="110"/>
    <n v="50"/>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32DAC-064F-40E5-867A-7C904E9261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0" firstHeaderRow="1" firstDataRow="1" firstDataCol="1"/>
  <pivotFields count="13">
    <pivotField showAll="0"/>
    <pivotField numFmtId="14" showAll="0"/>
    <pivotField axis="axisRow" showAll="0" measureFilter="1" sortType="descending">
      <items count="17">
        <item x="7"/>
        <item x="1"/>
        <item x="5"/>
        <item x="10"/>
        <item x="4"/>
        <item x="13"/>
        <item x="12"/>
        <item x="8"/>
        <item x="0"/>
        <item x="11"/>
        <item x="14"/>
        <item x="3"/>
        <item x="2"/>
        <item x="6"/>
        <item x="15"/>
        <item x="9"/>
        <item t="default"/>
      </items>
    </pivotField>
    <pivotField showAll="0">
      <items count="5">
        <item h="1" x="3"/>
        <item h="1" x="0"/>
        <item h="1" x="1"/>
        <item x="2"/>
        <item t="default"/>
      </items>
    </pivotField>
    <pivotField showAll="0">
      <items count="4">
        <item x="1"/>
        <item x="0"/>
        <item x="2"/>
        <item t="default"/>
      </items>
    </pivotField>
    <pivotField showAll="0"/>
    <pivotField showAll="0"/>
    <pivotField numFmtId="44" showAll="0"/>
    <pivotField dataField="1" numFmtId="44" showAll="0"/>
    <pivotField numFmtId="44" showAll="0"/>
    <pivotField numFmtId="44" showAll="0"/>
    <pivotField showAll="0"/>
    <pivotField showAll="0">
      <items count="7">
        <item x="0"/>
        <item x="1"/>
        <item x="2"/>
        <item x="3"/>
        <item x="4"/>
        <item x="5"/>
        <item t="default"/>
      </items>
    </pivotField>
  </pivotFields>
  <rowFields count="1">
    <field x="2"/>
  </rowFields>
  <rowItems count="7">
    <i>
      <x v="3"/>
    </i>
    <i>
      <x v="6"/>
    </i>
    <i>
      <x v="8"/>
    </i>
    <i>
      <x v="10"/>
    </i>
    <i>
      <x v="12"/>
    </i>
    <i>
      <x v="13"/>
    </i>
    <i t="grand">
      <x/>
    </i>
  </rowItems>
  <colItems count="1">
    <i/>
  </colItems>
  <dataFields count="1">
    <dataField name="Sum of Total_Revenue" fld="8" baseField="0" baseItem="0" numFmtId="44"/>
  </dataFields>
  <chartFormats count="2">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59652-5287-486A-BD39-0D565A1141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13" firstHeaderRow="1" firstDataRow="1" firstDataCol="1"/>
  <pivotFields count="13">
    <pivotField showAll="0"/>
    <pivotField numFmtId="14" showAll="0"/>
    <pivotField showAll="0"/>
    <pivotField axis="axisRow" showAll="0">
      <items count="5">
        <item h="1" x="3"/>
        <item h="1" x="0"/>
        <item h="1" x="1"/>
        <item x="2"/>
        <item t="default"/>
      </items>
    </pivotField>
    <pivotField showAll="0">
      <items count="4">
        <item x="1"/>
        <item x="0"/>
        <item x="2"/>
        <item t="default"/>
      </items>
    </pivotField>
    <pivotField showAll="0"/>
    <pivotField showAll="0"/>
    <pivotField numFmtId="44" showAll="0"/>
    <pivotField numFmtId="44" showAll="0"/>
    <pivotField numFmtId="44" showAll="0"/>
    <pivotField dataField="1" numFmtId="44" showAll="0"/>
    <pivotField showAll="0">
      <items count="4">
        <item x="0"/>
        <item x="1"/>
        <item x="2"/>
        <item t="default"/>
      </items>
    </pivotField>
    <pivotField showAll="0">
      <items count="7">
        <item x="0"/>
        <item x="1"/>
        <item x="2"/>
        <item x="3"/>
        <item x="4"/>
        <item x="5"/>
        <item t="default"/>
      </items>
    </pivotField>
  </pivotFields>
  <rowFields count="1">
    <field x="3"/>
  </rowFields>
  <rowItems count="2">
    <i>
      <x v="3"/>
    </i>
    <i t="grand">
      <x/>
    </i>
  </rowItems>
  <colItems count="1">
    <i/>
  </colItems>
  <dataFields count="1">
    <dataField name="Sum of Profit"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DDF49D-7598-404F-8DB8-8A2E8AD302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5" firstHeaderRow="1" firstDataRow="1" firstDataCol="1"/>
  <pivotFields count="13">
    <pivotField showAll="0"/>
    <pivotField numFmtId="14" showAll="0"/>
    <pivotField showAll="0"/>
    <pivotField axis="axisRow" showAll="0">
      <items count="5">
        <item h="1" x="3"/>
        <item h="1" x="0"/>
        <item h="1" x="1"/>
        <item x="2"/>
        <item t="default"/>
      </items>
    </pivotField>
    <pivotField showAll="0">
      <items count="4">
        <item x="1"/>
        <item x="0"/>
        <item x="2"/>
        <item t="default"/>
      </items>
    </pivotField>
    <pivotField showAll="0"/>
    <pivotField showAll="0"/>
    <pivotField numFmtId="44" showAll="0"/>
    <pivotField dataField="1" numFmtId="44" showAll="0"/>
    <pivotField numFmtId="44" showAll="0"/>
    <pivotField numFmtId="44" showAll="0"/>
    <pivotField showAll="0"/>
    <pivotField showAll="0">
      <items count="7">
        <item x="0"/>
        <item x="1"/>
        <item x="2"/>
        <item x="3"/>
        <item x="4"/>
        <item x="5"/>
        <item t="default"/>
      </items>
    </pivotField>
  </pivotFields>
  <rowFields count="1">
    <field x="3"/>
  </rowFields>
  <rowItems count="2">
    <i>
      <x v="3"/>
    </i>
    <i t="grand">
      <x/>
    </i>
  </rowItems>
  <colItems count="1">
    <i/>
  </colItems>
  <dataFields count="1">
    <dataField name="Sum of Total_Revenue" fld="8" baseField="0" baseItem="0" numFmtId="44"/>
  </dataFields>
  <chartFormats count="2">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1B1791-CBB0-4DAA-92B0-03F6A0E1E8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7" firstHeaderRow="1" firstDataRow="1" firstDataCol="1"/>
  <pivotFields count="13">
    <pivotField showAll="0"/>
    <pivotField numFmtId="14" showAll="0"/>
    <pivotField showAll="0"/>
    <pivotField showAll="0">
      <items count="5">
        <item h="1" x="3"/>
        <item h="1" x="0"/>
        <item h="1" x="1"/>
        <item x="2"/>
        <item t="default"/>
      </items>
    </pivotField>
    <pivotField axis="axisRow" showAll="0">
      <items count="4">
        <item x="1"/>
        <item x="0"/>
        <item x="2"/>
        <item t="default"/>
      </items>
    </pivotField>
    <pivotField showAll="0"/>
    <pivotField showAll="0"/>
    <pivotField numFmtId="44" showAll="0"/>
    <pivotField dataField="1" numFmtId="44" showAll="0"/>
    <pivotField numFmtId="44" showAll="0"/>
    <pivotField numFmtId="44" showAll="0"/>
    <pivotField showAll="0"/>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Sum of Total_Revenue" fld="8" baseField="0" baseItem="0" numFmtId="44"/>
  </dataFields>
  <chartFormats count="2">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E076E8-12A1-4650-B511-C49F825C9E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13">
    <pivotField showAll="0"/>
    <pivotField numFmtId="14" showAll="0"/>
    <pivotField showAll="0"/>
    <pivotField showAll="0">
      <items count="5">
        <item h="1" x="3"/>
        <item h="1" x="0"/>
        <item h="1" x="1"/>
        <item x="2"/>
        <item t="default"/>
      </items>
    </pivotField>
    <pivotField showAll="0">
      <items count="4">
        <item x="1"/>
        <item x="0"/>
        <item x="2"/>
        <item t="default"/>
      </items>
    </pivotField>
    <pivotField showAll="0"/>
    <pivotField showAll="0"/>
    <pivotField numFmtId="44" showAll="0"/>
    <pivotField dataField="1" numFmtId="44" showAll="0"/>
    <pivotField numFmtId="44" showAll="0"/>
    <pivotField numFmtId="44"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12"/>
  </rowFields>
  <rowItems count="7">
    <i>
      <x v="5"/>
    </i>
    <i>
      <x v="4"/>
    </i>
    <i>
      <x/>
    </i>
    <i>
      <x v="2"/>
    </i>
    <i>
      <x v="3"/>
    </i>
    <i>
      <x v="1"/>
    </i>
    <i t="grand">
      <x/>
    </i>
  </rowItems>
  <colItems count="1">
    <i/>
  </colItems>
  <dataFields count="1">
    <dataField name="Sum of Total_Revenue" fld="8" baseField="0" baseItem="0" numFmtId="44"/>
  </dataField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019DF-CA23-4819-AA1D-0C42044762A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9:I23" firstHeaderRow="1" firstDataRow="1" firstDataCol="1"/>
  <pivotFields count="13">
    <pivotField dataField="1" showAll="0"/>
    <pivotField numFmtId="14" showAll="0"/>
    <pivotField showAll="0"/>
    <pivotField showAll="0">
      <items count="5">
        <item h="1" x="3"/>
        <item h="1" x="0"/>
        <item h="1" x="1"/>
        <item x="2"/>
        <item t="default"/>
      </items>
    </pivotField>
    <pivotField showAll="0">
      <items count="4">
        <item x="1"/>
        <item x="0"/>
        <item x="2"/>
        <item t="default"/>
      </items>
    </pivotField>
    <pivotField showAll="0"/>
    <pivotField showAll="0"/>
    <pivotField numFmtId="44" showAll="0"/>
    <pivotField numFmtId="44" showAll="0"/>
    <pivotField numFmtId="44" showAll="0"/>
    <pivotField numFmtId="44" showAll="0"/>
    <pivotField axis="axisRow" showAll="0">
      <items count="4">
        <item x="0"/>
        <item x="1"/>
        <item x="2"/>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Count of Order_ID" fld="0"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1" count="1" selected="0">
            <x v="0"/>
          </reference>
        </references>
      </pivotArea>
    </chartFormat>
    <chartFormat chart="11" format="10">
      <pivotArea type="data" outline="0" fieldPosition="0">
        <references count="2">
          <reference field="4294967294" count="1" selected="0">
            <x v="0"/>
          </reference>
          <reference field="11" count="1" selected="0">
            <x v="1"/>
          </reference>
        </references>
      </pivotArea>
    </chartFormat>
    <chartFormat chart="11"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E0B51E-6E00-48D5-834F-0FDB1F22AB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E20" firstHeaderRow="1" firstDataRow="1" firstDataCol="0"/>
  <pivotFields count="13">
    <pivotField dataField="1" showAll="0"/>
    <pivotField numFmtId="14" showAll="0"/>
    <pivotField showAll="0"/>
    <pivotField showAll="0">
      <items count="5">
        <item h="1" x="3"/>
        <item h="1" x="0"/>
        <item h="1" x="1"/>
        <item x="2"/>
        <item t="default"/>
      </items>
    </pivotField>
    <pivotField showAll="0">
      <items count="4">
        <item x="1"/>
        <item x="0"/>
        <item x="2"/>
        <item t="default"/>
      </items>
    </pivotField>
    <pivotField showAll="0"/>
    <pivotField showAll="0"/>
    <pivotField numFmtId="44" showAll="0"/>
    <pivotField numFmtId="44" showAll="0"/>
    <pivotField numFmtId="44" showAll="0"/>
    <pivotField numFmtId="44" showAll="0"/>
    <pivotField showAll="0"/>
    <pivotField showAll="0">
      <items count="7">
        <item x="0"/>
        <item x="1"/>
        <item x="2"/>
        <item x="3"/>
        <item x="4"/>
        <item x="5"/>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C3104D-03C3-432C-AD70-36704AA8A4FF}" sourceName="Region">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262090335">
      <items count="4">
        <i x="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086C72-B6B1-47B9-9B64-F8B8A82E4D6E}" sourceName="Category">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26209033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7582F17-99C4-40F1-87A0-7DA1B1FDDDA0}" sourceName="Payment_Method">
  <pivotTables>
    <pivotTable tabId="3" name="PivotTable5"/>
  </pivotTables>
  <data>
    <tabular pivotCacheId="26209033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2A80D8A8-50A2-48A6-B419-2EF387C7093E}" sourceName="Year_month">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26209033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07AE7C-870C-41F6-9A69-FA47C16918F4}" cache="Slicer_Region" caption="Region" rowHeight="241300"/>
  <slicer name="Category" xr10:uid="{EA424C96-F1CB-489C-9A15-FBFEBEC78383}" cache="Slicer_Category" caption="Category" rowHeight="241300"/>
  <slicer name="Payment_Method" xr10:uid="{2EE07D02-EC9B-4435-AE07-86EDA16E2405}" cache="Slicer_Payment_Method" caption="Payment_Method" rowHeight="241300"/>
  <slicer name="Year_month" xr10:uid="{55D343ED-83AC-4CB7-963D-40A6914D76A1}" cache="Slicer_Year_month" caption="Year_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92B520B-4453-4749-ACB7-057131C0AB44}" cache="Slicer_Region" caption="Region" rowHeight="241300"/>
  <slicer name="Category 1" xr10:uid="{8C9C091D-0A36-4471-B2EA-1A06294A3A2B}" cache="Slicer_Category" caption="Category" rowHeight="241300"/>
  <slicer name="Year_month 1" xr10:uid="{16ADAA69-801B-460E-9275-7FE9B37C9AB0}" cache="Slicer_Year_month" caption="Year_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8B097-33CE-4A33-A528-FD0833E89ED4}" name="Table1" displayName="Table1" ref="A1:M57" totalsRowShown="0">
  <autoFilter ref="A1:M57" xr:uid="{59D8B097-33CE-4A33-A528-FD0833E89ED4}"/>
  <tableColumns count="13">
    <tableColumn id="1" xr3:uid="{ADBFD2F1-0A18-43D9-B4C4-15A13D421F4A}" name="lel"/>
    <tableColumn id="2" xr3:uid="{19BC2367-225E-4D14-8C19-9F4DA36A5255}" name="Order_Date" dataDxfId="1"/>
    <tableColumn id="3" xr3:uid="{4539C5D5-5923-4801-8E8A-70FB10BA3AA6}" name="Customer_Name"/>
    <tableColumn id="4" xr3:uid="{C10D7575-8C35-496A-8A73-5CAAB973E6A1}" name="Region"/>
    <tableColumn id="5" xr3:uid="{66503C0C-C84A-4C76-9C75-AFBA0B4B96F7}" name="Category"/>
    <tableColumn id="6" xr3:uid="{1B6FD821-CC52-4C12-A4D5-418D7C4A7DFC}" name="Product"/>
    <tableColumn id="7" xr3:uid="{A9FF1656-07C6-4CDB-8555-DCF69D8716D6}" name="Quantity"/>
    <tableColumn id="8" xr3:uid="{B019ECAC-BB10-4327-9EBA-DBF6266F828B}" name="Unit_Price" dataCellStyle="Currency"/>
    <tableColumn id="9" xr3:uid="{B87B0399-F613-4587-897A-B1661C12AF37}" name="Total_Revenue" dataCellStyle="Currency"/>
    <tableColumn id="10" xr3:uid="{72E337E5-2DA7-435D-9654-8F8A82C0D836}" name="Cost" dataCellStyle="Currency"/>
    <tableColumn id="11" xr3:uid="{5794F630-F960-4DF7-BBF4-8BB07CDEB652}" name="Profit" dataCellStyle="Currency"/>
    <tableColumn id="12" xr3:uid="{88FEF36F-1863-4F1C-8727-1B877D32740D}" name="Payment_Method"/>
    <tableColumn id="13" xr3:uid="{8578C4D5-F3E3-4A8C-B99B-29EFBA8B4C41}" name="Year_month" dataDxfId="0">
      <calculatedColumnFormula>TEXT(B2,"yyyy-mm")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0517-FBC4-4E84-BCDE-1F0018674EAB}">
  <dimension ref="A3:L23"/>
  <sheetViews>
    <sheetView topLeftCell="A8" workbookViewId="0">
      <selection activeCell="L23" sqref="L23"/>
    </sheetView>
  </sheetViews>
  <sheetFormatPr defaultRowHeight="15" x14ac:dyDescent="0.25"/>
  <cols>
    <col min="1" max="1" width="13.140625" bestFit="1" customWidth="1"/>
    <col min="2" max="2" width="21.140625" bestFit="1" customWidth="1"/>
    <col min="4" max="4" width="13.140625" bestFit="1" customWidth="1"/>
    <col min="5" max="5" width="17.28515625" bestFit="1" customWidth="1"/>
    <col min="7" max="8" width="13.140625" bestFit="1" customWidth="1"/>
    <col min="9" max="9" width="17.28515625" bestFit="1" customWidth="1"/>
  </cols>
  <sheetData>
    <row r="3" spans="1:9" x14ac:dyDescent="0.25">
      <c r="A3" s="3" t="s">
        <v>52</v>
      </c>
      <c r="B3" t="s">
        <v>60</v>
      </c>
      <c r="D3" s="3" t="s">
        <v>52</v>
      </c>
      <c r="E3" t="s">
        <v>60</v>
      </c>
      <c r="G3" s="3" t="s">
        <v>52</v>
      </c>
      <c r="H3" t="s">
        <v>60</v>
      </c>
    </row>
    <row r="4" spans="1:9" x14ac:dyDescent="0.25">
      <c r="A4" s="4" t="s">
        <v>58</v>
      </c>
      <c r="B4" s="5">
        <v>1950</v>
      </c>
      <c r="D4" s="4" t="s">
        <v>18</v>
      </c>
      <c r="E4" s="5">
        <v>550</v>
      </c>
      <c r="G4" s="4" t="s">
        <v>22</v>
      </c>
      <c r="H4" s="5">
        <v>7585</v>
      </c>
    </row>
    <row r="5" spans="1:9" x14ac:dyDescent="0.25">
      <c r="A5" s="4" t="s">
        <v>57</v>
      </c>
      <c r="B5" s="5">
        <v>1900</v>
      </c>
      <c r="D5" s="4" t="s">
        <v>13</v>
      </c>
      <c r="E5" s="5">
        <v>6250</v>
      </c>
      <c r="G5" s="4" t="s">
        <v>59</v>
      </c>
      <c r="H5" s="5">
        <v>7585</v>
      </c>
    </row>
    <row r="6" spans="1:9" x14ac:dyDescent="0.25">
      <c r="A6" s="4" t="s">
        <v>53</v>
      </c>
      <c r="B6" s="5">
        <v>1675</v>
      </c>
      <c r="D6" s="4" t="s">
        <v>23</v>
      </c>
      <c r="E6" s="5">
        <v>785</v>
      </c>
    </row>
    <row r="7" spans="1:9" x14ac:dyDescent="0.25">
      <c r="A7" s="4" t="s">
        <v>55</v>
      </c>
      <c r="B7" s="5">
        <v>1400</v>
      </c>
      <c r="D7" s="4" t="s">
        <v>59</v>
      </c>
      <c r="E7" s="5">
        <v>7585</v>
      </c>
    </row>
    <row r="8" spans="1:9" x14ac:dyDescent="0.25">
      <c r="A8" s="4" t="s">
        <v>56</v>
      </c>
      <c r="B8" s="5">
        <v>500</v>
      </c>
    </row>
    <row r="9" spans="1:9" x14ac:dyDescent="0.25">
      <c r="A9" s="4" t="s">
        <v>54</v>
      </c>
      <c r="B9" s="5">
        <v>160</v>
      </c>
    </row>
    <row r="10" spans="1:9" x14ac:dyDescent="0.25">
      <c r="A10" s="4" t="s">
        <v>59</v>
      </c>
      <c r="B10" s="5">
        <v>7585</v>
      </c>
    </row>
    <row r="11" spans="1:9" x14ac:dyDescent="0.25">
      <c r="H11" s="3" t="s">
        <v>52</v>
      </c>
      <c r="I11" t="s">
        <v>63</v>
      </c>
    </row>
    <row r="12" spans="1:9" x14ac:dyDescent="0.25">
      <c r="H12" s="4" t="s">
        <v>22</v>
      </c>
      <c r="I12" s="5">
        <v>1865</v>
      </c>
    </row>
    <row r="13" spans="1:9" x14ac:dyDescent="0.25">
      <c r="A13" s="3" t="s">
        <v>52</v>
      </c>
      <c r="B13" t="s">
        <v>60</v>
      </c>
      <c r="H13" s="4" t="s">
        <v>59</v>
      </c>
      <c r="I13" s="5">
        <v>1865</v>
      </c>
    </row>
    <row r="14" spans="1:9" x14ac:dyDescent="0.25">
      <c r="A14" s="4" t="s">
        <v>41</v>
      </c>
      <c r="B14" s="5">
        <v>1380</v>
      </c>
    </row>
    <row r="15" spans="1:9" x14ac:dyDescent="0.25">
      <c r="A15" s="4" t="s">
        <v>45</v>
      </c>
      <c r="B15" s="5">
        <v>90</v>
      </c>
    </row>
    <row r="16" spans="1:9" x14ac:dyDescent="0.25">
      <c r="A16" s="4" t="s">
        <v>11</v>
      </c>
      <c r="B16" s="5">
        <v>450</v>
      </c>
    </row>
    <row r="17" spans="1:12" x14ac:dyDescent="0.25">
      <c r="A17" s="4" t="s">
        <v>48</v>
      </c>
      <c r="B17" s="5">
        <v>2700</v>
      </c>
    </row>
    <row r="18" spans="1:12" x14ac:dyDescent="0.25">
      <c r="A18" s="4" t="s">
        <v>21</v>
      </c>
      <c r="B18" s="5">
        <v>1335</v>
      </c>
    </row>
    <row r="19" spans="1:12" x14ac:dyDescent="0.25">
      <c r="A19" s="4" t="s">
        <v>33</v>
      </c>
      <c r="B19" s="5">
        <v>1630</v>
      </c>
      <c r="E19" t="s">
        <v>62</v>
      </c>
      <c r="H19" s="3" t="s">
        <v>52</v>
      </c>
      <c r="I19" t="s">
        <v>62</v>
      </c>
    </row>
    <row r="20" spans="1:12" x14ac:dyDescent="0.25">
      <c r="A20" s="4" t="s">
        <v>59</v>
      </c>
      <c r="B20" s="5">
        <v>7585</v>
      </c>
      <c r="E20" s="8">
        <v>14</v>
      </c>
      <c r="H20" s="4" t="s">
        <v>15</v>
      </c>
      <c r="I20" s="8">
        <v>7</v>
      </c>
    </row>
    <row r="21" spans="1:12" x14ac:dyDescent="0.25">
      <c r="H21" s="4" t="s">
        <v>20</v>
      </c>
      <c r="I21" s="8">
        <v>4</v>
      </c>
    </row>
    <row r="22" spans="1:12" x14ac:dyDescent="0.25">
      <c r="H22" s="4" t="s">
        <v>28</v>
      </c>
      <c r="I22" s="8">
        <v>3</v>
      </c>
    </row>
    <row r="23" spans="1:12" x14ac:dyDescent="0.25">
      <c r="H23" s="4" t="s">
        <v>59</v>
      </c>
      <c r="I23" s="8">
        <v>14</v>
      </c>
      <c r="L23" t="s">
        <v>65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4BAC-082B-4298-885D-02E6CAE09AA9}">
  <dimension ref="A1"/>
  <sheetViews>
    <sheetView workbookViewId="0">
      <selection activeCell="D24" sqref="D2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52C8-BB83-4467-BB66-BC24552E713E}">
  <dimension ref="A1:M57"/>
  <sheetViews>
    <sheetView topLeftCell="A2" workbookViewId="0">
      <selection sqref="A1:M57"/>
    </sheetView>
  </sheetViews>
  <sheetFormatPr defaultRowHeight="15" x14ac:dyDescent="0.25"/>
  <cols>
    <col min="1" max="1" width="11.140625" customWidth="1"/>
    <col min="2" max="2" width="11.28515625" bestFit="1" customWidth="1"/>
    <col min="3" max="3" width="18" customWidth="1"/>
    <col min="4" max="4" width="9.28515625" customWidth="1"/>
    <col min="5" max="5" width="11" customWidth="1"/>
    <col min="6" max="6" width="12.140625" bestFit="1" customWidth="1"/>
    <col min="7" max="7" width="10.85546875" customWidth="1"/>
    <col min="8" max="8" width="12.42578125" customWidth="1"/>
    <col min="9" max="9" width="16.42578125" customWidth="1"/>
    <col min="10" max="10" width="10.5703125" bestFit="1" customWidth="1"/>
    <col min="11" max="11" width="9" bestFit="1" customWidth="1"/>
    <col min="12" max="13" width="19.140625" customWidth="1"/>
  </cols>
  <sheetData>
    <row r="1" spans="1:13" x14ac:dyDescent="0.25">
      <c r="A1" t="s">
        <v>61</v>
      </c>
      <c r="B1" t="s">
        <v>0</v>
      </c>
      <c r="C1" t="s">
        <v>1</v>
      </c>
      <c r="D1" t="s">
        <v>2</v>
      </c>
      <c r="E1" t="s">
        <v>3</v>
      </c>
      <c r="F1" t="s">
        <v>4</v>
      </c>
      <c r="G1" t="s">
        <v>5</v>
      </c>
      <c r="H1" t="s">
        <v>6</v>
      </c>
      <c r="I1" t="s">
        <v>7</v>
      </c>
      <c r="J1" t="s">
        <v>8</v>
      </c>
      <c r="K1" t="s">
        <v>9</v>
      </c>
      <c r="L1" t="s">
        <v>10</v>
      </c>
      <c r="M1" t="s">
        <v>51</v>
      </c>
    </row>
    <row r="2" spans="1:13" x14ac:dyDescent="0.25">
      <c r="A2">
        <v>2001</v>
      </c>
      <c r="B2" s="1">
        <v>45660</v>
      </c>
      <c r="C2" t="s">
        <v>11</v>
      </c>
      <c r="D2" t="s">
        <v>12</v>
      </c>
      <c r="E2" t="s">
        <v>13</v>
      </c>
      <c r="F2" t="s">
        <v>14</v>
      </c>
      <c r="G2">
        <v>1</v>
      </c>
      <c r="H2" s="2">
        <v>900</v>
      </c>
      <c r="I2" s="2">
        <v>900</v>
      </c>
      <c r="J2" s="2">
        <v>720</v>
      </c>
      <c r="K2" s="2">
        <v>180</v>
      </c>
      <c r="L2" t="s">
        <v>15</v>
      </c>
      <c r="M2" t="str">
        <f t="shared" ref="M2:M33" si="0">TEXT(B2,"yyyy-mm")</f>
        <v>2025-01</v>
      </c>
    </row>
    <row r="3" spans="1:13" x14ac:dyDescent="0.25">
      <c r="A3">
        <v>2002</v>
      </c>
      <c r="B3" s="1">
        <v>45664</v>
      </c>
      <c r="C3" t="s">
        <v>16</v>
      </c>
      <c r="D3" t="s">
        <v>17</v>
      </c>
      <c r="E3" t="s">
        <v>18</v>
      </c>
      <c r="F3" t="s">
        <v>19</v>
      </c>
      <c r="G3">
        <v>2</v>
      </c>
      <c r="H3" s="2">
        <v>75</v>
      </c>
      <c r="I3" s="2">
        <v>150</v>
      </c>
      <c r="J3" s="2">
        <v>100</v>
      </c>
      <c r="K3" s="2">
        <v>50</v>
      </c>
      <c r="L3" t="s">
        <v>20</v>
      </c>
      <c r="M3" t="str">
        <f t="shared" si="0"/>
        <v>2025-01</v>
      </c>
    </row>
    <row r="4" spans="1:13" x14ac:dyDescent="0.25">
      <c r="A4">
        <v>2003</v>
      </c>
      <c r="B4" s="1">
        <v>45668</v>
      </c>
      <c r="C4" t="s">
        <v>21</v>
      </c>
      <c r="D4" t="s">
        <v>22</v>
      </c>
      <c r="E4" t="s">
        <v>23</v>
      </c>
      <c r="F4" t="s">
        <v>24</v>
      </c>
      <c r="G4">
        <v>3</v>
      </c>
      <c r="H4" s="2">
        <v>95</v>
      </c>
      <c r="I4" s="2">
        <v>285</v>
      </c>
      <c r="J4" s="2">
        <v>210</v>
      </c>
      <c r="K4" s="2">
        <v>75</v>
      </c>
      <c r="L4" t="s">
        <v>15</v>
      </c>
      <c r="M4" t="str">
        <f t="shared" si="0"/>
        <v>2025-01</v>
      </c>
    </row>
    <row r="5" spans="1:13" x14ac:dyDescent="0.25">
      <c r="A5">
        <v>2004</v>
      </c>
      <c r="B5" s="1">
        <v>45672</v>
      </c>
      <c r="C5" t="s">
        <v>25</v>
      </c>
      <c r="D5" t="s">
        <v>26</v>
      </c>
      <c r="E5" t="s">
        <v>13</v>
      </c>
      <c r="F5" t="s">
        <v>27</v>
      </c>
      <c r="G5">
        <v>1</v>
      </c>
      <c r="H5" s="2">
        <v>450</v>
      </c>
      <c r="I5" s="2">
        <v>450</v>
      </c>
      <c r="J5" s="2">
        <v>350</v>
      </c>
      <c r="K5" s="2">
        <v>100</v>
      </c>
      <c r="L5" t="s">
        <v>28</v>
      </c>
      <c r="M5" t="str">
        <f t="shared" si="0"/>
        <v>2025-01</v>
      </c>
    </row>
    <row r="6" spans="1:13" x14ac:dyDescent="0.25">
      <c r="A6">
        <v>2005</v>
      </c>
      <c r="B6" s="1">
        <v>45676</v>
      </c>
      <c r="C6" t="s">
        <v>29</v>
      </c>
      <c r="D6" t="s">
        <v>12</v>
      </c>
      <c r="E6" t="s">
        <v>18</v>
      </c>
      <c r="F6" t="s">
        <v>30</v>
      </c>
      <c r="G6">
        <v>4</v>
      </c>
      <c r="H6" s="2">
        <v>30</v>
      </c>
      <c r="I6" s="2">
        <v>120</v>
      </c>
      <c r="J6" s="2">
        <v>70</v>
      </c>
      <c r="K6" s="2">
        <v>50</v>
      </c>
      <c r="L6" t="s">
        <v>20</v>
      </c>
      <c r="M6" t="str">
        <f t="shared" si="0"/>
        <v>2025-01</v>
      </c>
    </row>
    <row r="7" spans="1:13" x14ac:dyDescent="0.25">
      <c r="A7">
        <v>2006</v>
      </c>
      <c r="B7" s="1">
        <v>45680</v>
      </c>
      <c r="C7" t="s">
        <v>31</v>
      </c>
      <c r="D7" t="s">
        <v>17</v>
      </c>
      <c r="E7" t="s">
        <v>23</v>
      </c>
      <c r="F7" t="s">
        <v>32</v>
      </c>
      <c r="G7">
        <v>2</v>
      </c>
      <c r="H7" s="2">
        <v>140</v>
      </c>
      <c r="I7" s="2">
        <v>280</v>
      </c>
      <c r="J7" s="2">
        <v>200</v>
      </c>
      <c r="K7" s="2">
        <v>80</v>
      </c>
      <c r="L7" t="s">
        <v>15</v>
      </c>
      <c r="M7" t="str">
        <f t="shared" si="0"/>
        <v>2025-01</v>
      </c>
    </row>
    <row r="8" spans="1:13" x14ac:dyDescent="0.25">
      <c r="A8">
        <v>2007</v>
      </c>
      <c r="B8" s="1">
        <v>45685</v>
      </c>
      <c r="C8" t="s">
        <v>33</v>
      </c>
      <c r="D8" t="s">
        <v>22</v>
      </c>
      <c r="E8" t="s">
        <v>13</v>
      </c>
      <c r="F8" t="s">
        <v>34</v>
      </c>
      <c r="G8">
        <v>2</v>
      </c>
      <c r="H8" s="2">
        <v>650</v>
      </c>
      <c r="I8" s="2">
        <v>1300</v>
      </c>
      <c r="J8" s="2">
        <v>1000</v>
      </c>
      <c r="K8" s="2">
        <v>300</v>
      </c>
      <c r="L8" t="s">
        <v>15</v>
      </c>
      <c r="M8" t="str">
        <f t="shared" si="0"/>
        <v>2025-01</v>
      </c>
    </row>
    <row r="9" spans="1:13" x14ac:dyDescent="0.25">
      <c r="A9">
        <v>2008</v>
      </c>
      <c r="B9" s="1">
        <v>45690</v>
      </c>
      <c r="C9" t="s">
        <v>35</v>
      </c>
      <c r="D9" t="s">
        <v>26</v>
      </c>
      <c r="E9" t="s">
        <v>18</v>
      </c>
      <c r="F9" t="s">
        <v>36</v>
      </c>
      <c r="G9">
        <v>2</v>
      </c>
      <c r="H9" s="2">
        <v>95</v>
      </c>
      <c r="I9" s="2">
        <v>190</v>
      </c>
      <c r="J9" s="2">
        <v>120</v>
      </c>
      <c r="K9" s="2">
        <v>70</v>
      </c>
      <c r="L9" t="s">
        <v>28</v>
      </c>
      <c r="M9" t="str">
        <f t="shared" si="0"/>
        <v>2025-02</v>
      </c>
    </row>
    <row r="10" spans="1:13" x14ac:dyDescent="0.25">
      <c r="A10">
        <v>2009</v>
      </c>
      <c r="B10" s="1">
        <v>45693</v>
      </c>
      <c r="C10" t="s">
        <v>37</v>
      </c>
      <c r="D10" t="s">
        <v>12</v>
      </c>
      <c r="E10" t="s">
        <v>23</v>
      </c>
      <c r="F10" t="s">
        <v>38</v>
      </c>
      <c r="G10">
        <v>5</v>
      </c>
      <c r="H10" s="2">
        <v>45</v>
      </c>
      <c r="I10" s="2">
        <v>225</v>
      </c>
      <c r="J10" s="2">
        <v>140</v>
      </c>
      <c r="K10" s="2">
        <v>85</v>
      </c>
      <c r="L10" t="s">
        <v>20</v>
      </c>
      <c r="M10" t="str">
        <f t="shared" si="0"/>
        <v>2025-02</v>
      </c>
    </row>
    <row r="11" spans="1:13" x14ac:dyDescent="0.25">
      <c r="A11">
        <v>2010</v>
      </c>
      <c r="B11" s="1">
        <v>45697</v>
      </c>
      <c r="C11" t="s">
        <v>39</v>
      </c>
      <c r="D11" t="s">
        <v>17</v>
      </c>
      <c r="E11" t="s">
        <v>13</v>
      </c>
      <c r="F11" t="s">
        <v>40</v>
      </c>
      <c r="G11">
        <v>3</v>
      </c>
      <c r="H11" s="2">
        <v>280</v>
      </c>
      <c r="I11" s="2">
        <v>840</v>
      </c>
      <c r="J11" s="2">
        <v>600</v>
      </c>
      <c r="K11" s="2">
        <v>240</v>
      </c>
      <c r="L11" t="s">
        <v>15</v>
      </c>
      <c r="M11" t="str">
        <f t="shared" si="0"/>
        <v>2025-02</v>
      </c>
    </row>
    <row r="12" spans="1:13" x14ac:dyDescent="0.25">
      <c r="A12">
        <v>2011</v>
      </c>
      <c r="B12" s="1">
        <v>45701</v>
      </c>
      <c r="C12" t="s">
        <v>41</v>
      </c>
      <c r="D12" t="s">
        <v>22</v>
      </c>
      <c r="E12" t="s">
        <v>18</v>
      </c>
      <c r="F12" t="s">
        <v>42</v>
      </c>
      <c r="G12">
        <v>2</v>
      </c>
      <c r="H12" s="2">
        <v>80</v>
      </c>
      <c r="I12" s="2">
        <v>160</v>
      </c>
      <c r="J12" s="2">
        <v>110</v>
      </c>
      <c r="K12" s="2">
        <v>50</v>
      </c>
      <c r="L12" t="s">
        <v>20</v>
      </c>
      <c r="M12" t="str">
        <f t="shared" si="0"/>
        <v>2025-02</v>
      </c>
    </row>
    <row r="13" spans="1:13" x14ac:dyDescent="0.25">
      <c r="A13">
        <v>2012</v>
      </c>
      <c r="B13" s="1">
        <v>45705</v>
      </c>
      <c r="C13" t="s">
        <v>43</v>
      </c>
      <c r="D13" t="s">
        <v>26</v>
      </c>
      <c r="E13" t="s">
        <v>13</v>
      </c>
      <c r="F13" t="s">
        <v>44</v>
      </c>
      <c r="G13">
        <v>4</v>
      </c>
      <c r="H13" s="2">
        <v>130</v>
      </c>
      <c r="I13" s="2">
        <v>520</v>
      </c>
      <c r="J13" s="2">
        <v>320</v>
      </c>
      <c r="K13" s="2">
        <v>200</v>
      </c>
      <c r="L13" t="s">
        <v>28</v>
      </c>
      <c r="M13" t="str">
        <f t="shared" si="0"/>
        <v>2025-02</v>
      </c>
    </row>
    <row r="14" spans="1:13" x14ac:dyDescent="0.25">
      <c r="A14">
        <v>2013</v>
      </c>
      <c r="B14" s="1">
        <v>45709</v>
      </c>
      <c r="C14" t="s">
        <v>45</v>
      </c>
      <c r="D14" t="s">
        <v>12</v>
      </c>
      <c r="E14" t="s">
        <v>23</v>
      </c>
      <c r="F14" t="s">
        <v>24</v>
      </c>
      <c r="G14">
        <v>2</v>
      </c>
      <c r="H14" s="2">
        <v>100</v>
      </c>
      <c r="I14" s="2">
        <v>200</v>
      </c>
      <c r="J14" s="2">
        <v>150</v>
      </c>
      <c r="K14" s="2">
        <v>50</v>
      </c>
      <c r="L14" t="s">
        <v>15</v>
      </c>
      <c r="M14" t="str">
        <f t="shared" si="0"/>
        <v>2025-02</v>
      </c>
    </row>
    <row r="15" spans="1:13" x14ac:dyDescent="0.25">
      <c r="A15">
        <v>2014</v>
      </c>
      <c r="B15" s="1">
        <v>45713</v>
      </c>
      <c r="C15" t="s">
        <v>46</v>
      </c>
      <c r="D15" t="s">
        <v>17</v>
      </c>
      <c r="E15" t="s">
        <v>18</v>
      </c>
      <c r="F15" t="s">
        <v>47</v>
      </c>
      <c r="G15">
        <v>3</v>
      </c>
      <c r="H15" s="2">
        <v>60</v>
      </c>
      <c r="I15" s="2">
        <v>180</v>
      </c>
      <c r="J15" s="2">
        <v>120</v>
      </c>
      <c r="K15" s="2">
        <v>60</v>
      </c>
      <c r="L15" t="s">
        <v>20</v>
      </c>
      <c r="M15" t="str">
        <f t="shared" si="0"/>
        <v>2025-02</v>
      </c>
    </row>
    <row r="16" spans="1:13" x14ac:dyDescent="0.25">
      <c r="A16">
        <v>2015</v>
      </c>
      <c r="B16" s="1">
        <v>45717</v>
      </c>
      <c r="C16" t="s">
        <v>48</v>
      </c>
      <c r="D16" t="s">
        <v>22</v>
      </c>
      <c r="E16" t="s">
        <v>13</v>
      </c>
      <c r="F16" t="s">
        <v>49</v>
      </c>
      <c r="G16">
        <v>2</v>
      </c>
      <c r="H16" s="2">
        <v>250</v>
      </c>
      <c r="I16" s="2">
        <v>500</v>
      </c>
      <c r="J16" s="2">
        <v>350</v>
      </c>
      <c r="K16" s="2">
        <v>150</v>
      </c>
      <c r="L16" t="s">
        <v>28</v>
      </c>
      <c r="M16" t="str">
        <f t="shared" si="0"/>
        <v>2025-03</v>
      </c>
    </row>
    <row r="17" spans="1:13" x14ac:dyDescent="0.25">
      <c r="A17">
        <v>2016</v>
      </c>
      <c r="B17" s="1">
        <v>45720</v>
      </c>
      <c r="C17" t="s">
        <v>50</v>
      </c>
      <c r="D17" t="s">
        <v>26</v>
      </c>
      <c r="E17" t="s">
        <v>23</v>
      </c>
      <c r="F17" t="s">
        <v>32</v>
      </c>
      <c r="G17">
        <v>1</v>
      </c>
      <c r="H17" s="2">
        <v>160</v>
      </c>
      <c r="I17" s="2">
        <v>160</v>
      </c>
      <c r="J17" s="2">
        <v>110</v>
      </c>
      <c r="K17" s="2">
        <v>50</v>
      </c>
      <c r="L17" t="s">
        <v>15</v>
      </c>
      <c r="M17" t="str">
        <f t="shared" si="0"/>
        <v>2025-03</v>
      </c>
    </row>
    <row r="18" spans="1:13" x14ac:dyDescent="0.25">
      <c r="A18">
        <v>2017</v>
      </c>
      <c r="B18" s="1">
        <v>45724</v>
      </c>
      <c r="C18" t="s">
        <v>11</v>
      </c>
      <c r="D18" t="s">
        <v>12</v>
      </c>
      <c r="E18" t="s">
        <v>13</v>
      </c>
      <c r="F18" t="s">
        <v>14</v>
      </c>
      <c r="G18">
        <v>1</v>
      </c>
      <c r="H18" s="2">
        <v>900</v>
      </c>
      <c r="I18" s="2">
        <v>900</v>
      </c>
      <c r="J18" s="2">
        <v>720</v>
      </c>
      <c r="K18" s="2">
        <v>180</v>
      </c>
      <c r="L18" t="s">
        <v>28</v>
      </c>
      <c r="M18" t="str">
        <f t="shared" si="0"/>
        <v>2025-03</v>
      </c>
    </row>
    <row r="19" spans="1:13" x14ac:dyDescent="0.25">
      <c r="A19">
        <v>2018</v>
      </c>
      <c r="B19" s="1">
        <v>45728</v>
      </c>
      <c r="C19" t="s">
        <v>16</v>
      </c>
      <c r="D19" t="s">
        <v>17</v>
      </c>
      <c r="E19" t="s">
        <v>18</v>
      </c>
      <c r="F19" t="s">
        <v>19</v>
      </c>
      <c r="G19">
        <v>3</v>
      </c>
      <c r="H19" s="2">
        <v>75</v>
      </c>
      <c r="I19" s="2">
        <v>225</v>
      </c>
      <c r="J19" s="2">
        <v>150</v>
      </c>
      <c r="K19" s="2">
        <v>75</v>
      </c>
      <c r="L19" t="s">
        <v>20</v>
      </c>
      <c r="M19" t="str">
        <f t="shared" si="0"/>
        <v>2025-03</v>
      </c>
    </row>
    <row r="20" spans="1:13" x14ac:dyDescent="0.25">
      <c r="A20">
        <v>2019</v>
      </c>
      <c r="B20" s="1">
        <v>45732</v>
      </c>
      <c r="C20" t="s">
        <v>21</v>
      </c>
      <c r="D20" t="s">
        <v>22</v>
      </c>
      <c r="E20" t="s">
        <v>13</v>
      </c>
      <c r="F20" t="s">
        <v>27</v>
      </c>
      <c r="G20">
        <v>2</v>
      </c>
      <c r="H20" s="2">
        <v>450</v>
      </c>
      <c r="I20" s="2">
        <v>900</v>
      </c>
      <c r="J20" s="2">
        <v>700</v>
      </c>
      <c r="K20" s="2">
        <v>200</v>
      </c>
      <c r="L20" t="s">
        <v>15</v>
      </c>
      <c r="M20" t="str">
        <f t="shared" si="0"/>
        <v>2025-03</v>
      </c>
    </row>
    <row r="21" spans="1:13" x14ac:dyDescent="0.25">
      <c r="A21">
        <v>2020</v>
      </c>
      <c r="B21" s="1">
        <v>45736</v>
      </c>
      <c r="C21" t="s">
        <v>25</v>
      </c>
      <c r="D21" t="s">
        <v>26</v>
      </c>
      <c r="E21" t="s">
        <v>23</v>
      </c>
      <c r="F21" t="s">
        <v>24</v>
      </c>
      <c r="G21">
        <v>2</v>
      </c>
      <c r="H21" s="2">
        <v>95</v>
      </c>
      <c r="I21" s="2">
        <v>190</v>
      </c>
      <c r="J21" s="2">
        <v>130</v>
      </c>
      <c r="K21" s="2">
        <v>60</v>
      </c>
      <c r="L21" t="s">
        <v>28</v>
      </c>
      <c r="M21" t="str">
        <f t="shared" si="0"/>
        <v>2025-03</v>
      </c>
    </row>
    <row r="22" spans="1:13" x14ac:dyDescent="0.25">
      <c r="A22">
        <v>2021</v>
      </c>
      <c r="B22" s="1">
        <v>45740</v>
      </c>
      <c r="C22" t="s">
        <v>29</v>
      </c>
      <c r="D22" t="s">
        <v>12</v>
      </c>
      <c r="E22" t="s">
        <v>13</v>
      </c>
      <c r="F22" t="s">
        <v>34</v>
      </c>
      <c r="G22">
        <v>1</v>
      </c>
      <c r="H22" s="2">
        <v>650</v>
      </c>
      <c r="I22" s="2">
        <v>650</v>
      </c>
      <c r="J22" s="2">
        <v>500</v>
      </c>
      <c r="K22" s="2">
        <v>150</v>
      </c>
      <c r="L22" t="s">
        <v>15</v>
      </c>
      <c r="M22" t="str">
        <f t="shared" si="0"/>
        <v>2025-03</v>
      </c>
    </row>
    <row r="23" spans="1:13" x14ac:dyDescent="0.25">
      <c r="A23">
        <v>2022</v>
      </c>
      <c r="B23" s="1">
        <v>45745</v>
      </c>
      <c r="C23" t="s">
        <v>31</v>
      </c>
      <c r="D23" t="s">
        <v>17</v>
      </c>
      <c r="E23" t="s">
        <v>18</v>
      </c>
      <c r="F23" t="s">
        <v>36</v>
      </c>
      <c r="G23">
        <v>2</v>
      </c>
      <c r="H23" s="2">
        <v>95</v>
      </c>
      <c r="I23" s="2">
        <v>190</v>
      </c>
      <c r="J23" s="2">
        <v>120</v>
      </c>
      <c r="K23" s="2">
        <v>70</v>
      </c>
      <c r="L23" t="s">
        <v>20</v>
      </c>
      <c r="M23" t="str">
        <f t="shared" si="0"/>
        <v>2025-03</v>
      </c>
    </row>
    <row r="24" spans="1:13" x14ac:dyDescent="0.25">
      <c r="A24">
        <v>2023</v>
      </c>
      <c r="B24" s="1">
        <v>45749</v>
      </c>
      <c r="C24" t="s">
        <v>33</v>
      </c>
      <c r="D24" t="s">
        <v>22</v>
      </c>
      <c r="E24" t="s">
        <v>23</v>
      </c>
      <c r="F24" t="s">
        <v>38</v>
      </c>
      <c r="G24">
        <v>4</v>
      </c>
      <c r="H24" s="2">
        <v>45</v>
      </c>
      <c r="I24" s="2">
        <v>180</v>
      </c>
      <c r="J24" s="2">
        <v>110</v>
      </c>
      <c r="K24" s="2">
        <v>70</v>
      </c>
      <c r="L24" t="s">
        <v>15</v>
      </c>
      <c r="M24" t="str">
        <f t="shared" si="0"/>
        <v>2025-04</v>
      </c>
    </row>
    <row r="25" spans="1:13" x14ac:dyDescent="0.25">
      <c r="A25">
        <v>2024</v>
      </c>
      <c r="B25" s="1">
        <v>45753</v>
      </c>
      <c r="C25" t="s">
        <v>35</v>
      </c>
      <c r="D25" t="s">
        <v>26</v>
      </c>
      <c r="E25" t="s">
        <v>13</v>
      </c>
      <c r="F25" t="s">
        <v>40</v>
      </c>
      <c r="G25">
        <v>1</v>
      </c>
      <c r="H25" s="2">
        <v>280</v>
      </c>
      <c r="I25" s="2">
        <v>280</v>
      </c>
      <c r="J25" s="2">
        <v>190</v>
      </c>
      <c r="K25" s="2">
        <v>90</v>
      </c>
      <c r="L25" t="s">
        <v>28</v>
      </c>
      <c r="M25" t="str">
        <f t="shared" si="0"/>
        <v>2025-04</v>
      </c>
    </row>
    <row r="26" spans="1:13" x14ac:dyDescent="0.25">
      <c r="A26">
        <v>2025</v>
      </c>
      <c r="B26" s="1">
        <v>45757</v>
      </c>
      <c r="C26" t="s">
        <v>37</v>
      </c>
      <c r="D26" t="s">
        <v>12</v>
      </c>
      <c r="E26" t="s">
        <v>18</v>
      </c>
      <c r="F26" t="s">
        <v>30</v>
      </c>
      <c r="G26">
        <v>6</v>
      </c>
      <c r="H26" s="2">
        <v>30</v>
      </c>
      <c r="I26" s="2">
        <v>180</v>
      </c>
      <c r="J26" s="2">
        <v>110</v>
      </c>
      <c r="K26" s="2">
        <v>70</v>
      </c>
      <c r="L26" t="s">
        <v>20</v>
      </c>
      <c r="M26" t="str">
        <f t="shared" si="0"/>
        <v>2025-04</v>
      </c>
    </row>
    <row r="27" spans="1:13" x14ac:dyDescent="0.25">
      <c r="A27">
        <v>2026</v>
      </c>
      <c r="B27" s="1">
        <v>45761</v>
      </c>
      <c r="C27" t="s">
        <v>39</v>
      </c>
      <c r="D27" t="s">
        <v>17</v>
      </c>
      <c r="E27" t="s">
        <v>13</v>
      </c>
      <c r="F27" t="s">
        <v>14</v>
      </c>
      <c r="G27">
        <v>1</v>
      </c>
      <c r="H27" s="2">
        <v>900</v>
      </c>
      <c r="I27" s="2">
        <v>900</v>
      </c>
      <c r="J27" s="2">
        <v>720</v>
      </c>
      <c r="K27" s="2">
        <v>180</v>
      </c>
      <c r="L27" t="s">
        <v>15</v>
      </c>
      <c r="M27" t="str">
        <f t="shared" si="0"/>
        <v>2025-04</v>
      </c>
    </row>
    <row r="28" spans="1:13" x14ac:dyDescent="0.25">
      <c r="A28">
        <v>2027</v>
      </c>
      <c r="B28" s="1">
        <v>45765</v>
      </c>
      <c r="C28" t="s">
        <v>41</v>
      </c>
      <c r="D28" t="s">
        <v>22</v>
      </c>
      <c r="E28" t="s">
        <v>23</v>
      </c>
      <c r="F28" t="s">
        <v>32</v>
      </c>
      <c r="G28">
        <v>2</v>
      </c>
      <c r="H28" s="2">
        <v>160</v>
      </c>
      <c r="I28" s="2">
        <v>320</v>
      </c>
      <c r="J28" s="2">
        <v>220</v>
      </c>
      <c r="K28" s="2">
        <v>100</v>
      </c>
      <c r="L28" t="s">
        <v>28</v>
      </c>
      <c r="M28" t="str">
        <f t="shared" si="0"/>
        <v>2025-04</v>
      </c>
    </row>
    <row r="29" spans="1:13" x14ac:dyDescent="0.25">
      <c r="A29">
        <v>2028</v>
      </c>
      <c r="B29" s="1">
        <v>45769</v>
      </c>
      <c r="C29" t="s">
        <v>43</v>
      </c>
      <c r="D29" t="s">
        <v>26</v>
      </c>
      <c r="E29" t="s">
        <v>13</v>
      </c>
      <c r="F29" t="s">
        <v>44</v>
      </c>
      <c r="G29">
        <v>3</v>
      </c>
      <c r="H29" s="2">
        <v>130</v>
      </c>
      <c r="I29" s="2">
        <v>390</v>
      </c>
      <c r="J29" s="2">
        <v>250</v>
      </c>
      <c r="K29" s="2">
        <v>140</v>
      </c>
      <c r="L29" t="s">
        <v>15</v>
      </c>
      <c r="M29" t="str">
        <f t="shared" si="0"/>
        <v>2025-04</v>
      </c>
    </row>
    <row r="30" spans="1:13" x14ac:dyDescent="0.25">
      <c r="A30">
        <v>2029</v>
      </c>
      <c r="B30" s="1">
        <v>45773</v>
      </c>
      <c r="C30" t="s">
        <v>45</v>
      </c>
      <c r="D30" t="s">
        <v>12</v>
      </c>
      <c r="E30" t="s">
        <v>18</v>
      </c>
      <c r="F30" t="s">
        <v>42</v>
      </c>
      <c r="G30">
        <v>2</v>
      </c>
      <c r="H30" s="2">
        <v>80</v>
      </c>
      <c r="I30" s="2">
        <v>160</v>
      </c>
      <c r="J30" s="2">
        <v>110</v>
      </c>
      <c r="K30" s="2">
        <v>50</v>
      </c>
      <c r="L30" t="s">
        <v>20</v>
      </c>
      <c r="M30" t="str">
        <f t="shared" si="0"/>
        <v>2025-04</v>
      </c>
    </row>
    <row r="31" spans="1:13" x14ac:dyDescent="0.25">
      <c r="A31">
        <v>2030</v>
      </c>
      <c r="B31" s="1">
        <v>45777</v>
      </c>
      <c r="C31" t="s">
        <v>46</v>
      </c>
      <c r="D31" t="s">
        <v>17</v>
      </c>
      <c r="E31" t="s">
        <v>13</v>
      </c>
      <c r="F31" t="s">
        <v>49</v>
      </c>
      <c r="G31">
        <v>1</v>
      </c>
      <c r="H31" s="2">
        <v>250</v>
      </c>
      <c r="I31" s="2">
        <v>250</v>
      </c>
      <c r="J31" s="2">
        <v>170</v>
      </c>
      <c r="K31" s="2">
        <v>80</v>
      </c>
      <c r="L31" t="s">
        <v>28</v>
      </c>
      <c r="M31" t="str">
        <f t="shared" si="0"/>
        <v>2025-04</v>
      </c>
    </row>
    <row r="32" spans="1:13" x14ac:dyDescent="0.25">
      <c r="A32">
        <v>2031</v>
      </c>
      <c r="B32" s="1">
        <v>45780</v>
      </c>
      <c r="C32" t="s">
        <v>48</v>
      </c>
      <c r="D32" t="s">
        <v>22</v>
      </c>
      <c r="E32" t="s">
        <v>13</v>
      </c>
      <c r="F32" t="s">
        <v>34</v>
      </c>
      <c r="G32">
        <v>2</v>
      </c>
      <c r="H32" s="2">
        <v>650</v>
      </c>
      <c r="I32" s="2">
        <v>1300</v>
      </c>
      <c r="J32" s="2">
        <v>1000</v>
      </c>
      <c r="K32" s="2">
        <v>300</v>
      </c>
      <c r="L32" t="s">
        <v>15</v>
      </c>
      <c r="M32" t="str">
        <f t="shared" si="0"/>
        <v>2025-05</v>
      </c>
    </row>
    <row r="33" spans="1:13" x14ac:dyDescent="0.25">
      <c r="A33">
        <v>2032</v>
      </c>
      <c r="B33" s="1">
        <v>45784</v>
      </c>
      <c r="C33" t="s">
        <v>50</v>
      </c>
      <c r="D33" t="s">
        <v>26</v>
      </c>
      <c r="E33" t="s">
        <v>18</v>
      </c>
      <c r="F33" t="s">
        <v>47</v>
      </c>
      <c r="G33">
        <v>2</v>
      </c>
      <c r="H33" s="2">
        <v>60</v>
      </c>
      <c r="I33" s="2">
        <v>120</v>
      </c>
      <c r="J33" s="2">
        <v>80</v>
      </c>
      <c r="K33" s="2">
        <v>40</v>
      </c>
      <c r="L33" t="s">
        <v>20</v>
      </c>
      <c r="M33" t="str">
        <f t="shared" si="0"/>
        <v>2025-05</v>
      </c>
    </row>
    <row r="34" spans="1:13" x14ac:dyDescent="0.25">
      <c r="A34">
        <v>2033</v>
      </c>
      <c r="B34" s="1">
        <v>45788</v>
      </c>
      <c r="C34" t="s">
        <v>11</v>
      </c>
      <c r="D34" t="s">
        <v>12</v>
      </c>
      <c r="E34" t="s">
        <v>23</v>
      </c>
      <c r="F34" t="s">
        <v>24</v>
      </c>
      <c r="G34">
        <v>4</v>
      </c>
      <c r="H34" s="2">
        <v>100</v>
      </c>
      <c r="I34" s="2">
        <v>400</v>
      </c>
      <c r="J34" s="2">
        <v>300</v>
      </c>
      <c r="K34" s="2">
        <v>100</v>
      </c>
      <c r="L34" t="s">
        <v>15</v>
      </c>
      <c r="M34" t="str">
        <f t="shared" ref="M34:M57" si="1">TEXT(B34,"yyyy-mm")</f>
        <v>2025-05</v>
      </c>
    </row>
    <row r="35" spans="1:13" x14ac:dyDescent="0.25">
      <c r="A35">
        <v>2034</v>
      </c>
      <c r="B35" s="1">
        <v>45792</v>
      </c>
      <c r="C35" t="s">
        <v>16</v>
      </c>
      <c r="D35" t="s">
        <v>17</v>
      </c>
      <c r="E35" t="s">
        <v>13</v>
      </c>
      <c r="F35" t="s">
        <v>27</v>
      </c>
      <c r="G35">
        <v>1</v>
      </c>
      <c r="H35" s="2">
        <v>450</v>
      </c>
      <c r="I35" s="2">
        <v>450</v>
      </c>
      <c r="J35" s="2">
        <v>350</v>
      </c>
      <c r="K35" s="2">
        <v>100</v>
      </c>
      <c r="L35" t="s">
        <v>28</v>
      </c>
      <c r="M35" t="str">
        <f t="shared" si="1"/>
        <v>2025-05</v>
      </c>
    </row>
    <row r="36" spans="1:13" x14ac:dyDescent="0.25">
      <c r="A36">
        <v>2035</v>
      </c>
      <c r="B36" s="1">
        <v>45796</v>
      </c>
      <c r="C36" t="s">
        <v>21</v>
      </c>
      <c r="D36" t="s">
        <v>22</v>
      </c>
      <c r="E36" t="s">
        <v>18</v>
      </c>
      <c r="F36" t="s">
        <v>19</v>
      </c>
      <c r="G36">
        <v>2</v>
      </c>
      <c r="H36" s="2">
        <v>75</v>
      </c>
      <c r="I36" s="2">
        <v>150</v>
      </c>
      <c r="J36" s="2">
        <v>100</v>
      </c>
      <c r="K36" s="2">
        <v>50</v>
      </c>
      <c r="L36" t="s">
        <v>20</v>
      </c>
      <c r="M36" t="str">
        <f t="shared" si="1"/>
        <v>2025-05</v>
      </c>
    </row>
    <row r="37" spans="1:13" x14ac:dyDescent="0.25">
      <c r="A37">
        <v>2036</v>
      </c>
      <c r="B37" s="1">
        <v>45800</v>
      </c>
      <c r="C37" t="s">
        <v>25</v>
      </c>
      <c r="D37" t="s">
        <v>26</v>
      </c>
      <c r="E37" t="s">
        <v>13</v>
      </c>
      <c r="F37" t="s">
        <v>14</v>
      </c>
      <c r="G37">
        <v>1</v>
      </c>
      <c r="H37" s="2">
        <v>900</v>
      </c>
      <c r="I37" s="2">
        <v>900</v>
      </c>
      <c r="J37" s="2">
        <v>720</v>
      </c>
      <c r="K37" s="2">
        <v>180</v>
      </c>
      <c r="L37" t="s">
        <v>15</v>
      </c>
      <c r="M37" t="str">
        <f t="shared" si="1"/>
        <v>2025-05</v>
      </c>
    </row>
    <row r="38" spans="1:13" x14ac:dyDescent="0.25">
      <c r="A38">
        <v>2037</v>
      </c>
      <c r="B38" s="1">
        <v>45804</v>
      </c>
      <c r="C38" t="s">
        <v>29</v>
      </c>
      <c r="D38" t="s">
        <v>12</v>
      </c>
      <c r="E38" t="s">
        <v>23</v>
      </c>
      <c r="F38" t="s">
        <v>38</v>
      </c>
      <c r="G38">
        <v>3</v>
      </c>
      <c r="H38" s="2">
        <v>45</v>
      </c>
      <c r="I38" s="2">
        <v>135</v>
      </c>
      <c r="J38" s="2">
        <v>90</v>
      </c>
      <c r="K38" s="2">
        <v>45</v>
      </c>
      <c r="L38" t="s">
        <v>28</v>
      </c>
      <c r="M38" t="str">
        <f t="shared" si="1"/>
        <v>2025-05</v>
      </c>
    </row>
    <row r="39" spans="1:13" x14ac:dyDescent="0.25">
      <c r="A39">
        <v>2038</v>
      </c>
      <c r="B39" s="1">
        <v>45807</v>
      </c>
      <c r="C39" t="s">
        <v>31</v>
      </c>
      <c r="D39" t="s">
        <v>17</v>
      </c>
      <c r="E39" t="s">
        <v>13</v>
      </c>
      <c r="F39" t="s">
        <v>40</v>
      </c>
      <c r="G39">
        <v>2</v>
      </c>
      <c r="H39" s="2">
        <v>280</v>
      </c>
      <c r="I39" s="2">
        <v>560</v>
      </c>
      <c r="J39" s="2">
        <v>400</v>
      </c>
      <c r="K39" s="2">
        <v>160</v>
      </c>
      <c r="L39" t="s">
        <v>15</v>
      </c>
      <c r="M39" t="str">
        <f t="shared" si="1"/>
        <v>2025-05</v>
      </c>
    </row>
    <row r="40" spans="1:13" x14ac:dyDescent="0.25">
      <c r="A40">
        <v>2039</v>
      </c>
      <c r="B40" s="1">
        <v>45810</v>
      </c>
      <c r="C40" t="s">
        <v>33</v>
      </c>
      <c r="D40" t="s">
        <v>22</v>
      </c>
      <c r="E40" t="s">
        <v>18</v>
      </c>
      <c r="F40" t="s">
        <v>30</v>
      </c>
      <c r="G40">
        <v>5</v>
      </c>
      <c r="H40" s="2">
        <v>30</v>
      </c>
      <c r="I40" s="2">
        <v>150</v>
      </c>
      <c r="J40" s="2">
        <v>90</v>
      </c>
      <c r="K40" s="2">
        <v>60</v>
      </c>
      <c r="L40" t="s">
        <v>20</v>
      </c>
      <c r="M40" t="str">
        <f t="shared" si="1"/>
        <v>2025-06</v>
      </c>
    </row>
    <row r="41" spans="1:13" x14ac:dyDescent="0.25">
      <c r="A41">
        <v>2040</v>
      </c>
      <c r="B41" s="1">
        <v>45813</v>
      </c>
      <c r="C41" t="s">
        <v>35</v>
      </c>
      <c r="D41" t="s">
        <v>26</v>
      </c>
      <c r="E41" t="s">
        <v>13</v>
      </c>
      <c r="F41" t="s">
        <v>49</v>
      </c>
      <c r="G41">
        <v>2</v>
      </c>
      <c r="H41" s="2">
        <v>250</v>
      </c>
      <c r="I41" s="2">
        <v>500</v>
      </c>
      <c r="J41" s="2">
        <v>350</v>
      </c>
      <c r="K41" s="2">
        <v>150</v>
      </c>
      <c r="L41" t="s">
        <v>28</v>
      </c>
      <c r="M41" t="str">
        <f t="shared" si="1"/>
        <v>2025-06</v>
      </c>
    </row>
    <row r="42" spans="1:13" x14ac:dyDescent="0.25">
      <c r="A42">
        <v>2041</v>
      </c>
      <c r="B42" s="1">
        <v>45816</v>
      </c>
      <c r="C42" t="s">
        <v>37</v>
      </c>
      <c r="D42" t="s">
        <v>12</v>
      </c>
      <c r="E42" t="s">
        <v>13</v>
      </c>
      <c r="F42" t="s">
        <v>34</v>
      </c>
      <c r="G42">
        <v>1</v>
      </c>
      <c r="H42" s="2">
        <v>650</v>
      </c>
      <c r="I42" s="2">
        <v>650</v>
      </c>
      <c r="J42" s="2">
        <v>500</v>
      </c>
      <c r="K42" s="2">
        <v>150</v>
      </c>
      <c r="L42" t="s">
        <v>15</v>
      </c>
      <c r="M42" t="str">
        <f t="shared" si="1"/>
        <v>2025-06</v>
      </c>
    </row>
    <row r="43" spans="1:13" x14ac:dyDescent="0.25">
      <c r="A43">
        <v>2042</v>
      </c>
      <c r="B43" s="1">
        <v>45819</v>
      </c>
      <c r="C43" t="s">
        <v>39</v>
      </c>
      <c r="D43" t="s">
        <v>17</v>
      </c>
      <c r="E43" t="s">
        <v>23</v>
      </c>
      <c r="F43" t="s">
        <v>32</v>
      </c>
      <c r="G43">
        <v>2</v>
      </c>
      <c r="H43" s="2">
        <v>160</v>
      </c>
      <c r="I43" s="2">
        <v>320</v>
      </c>
      <c r="J43" s="2">
        <v>220</v>
      </c>
      <c r="K43" s="2">
        <v>100</v>
      </c>
      <c r="L43" t="s">
        <v>20</v>
      </c>
      <c r="M43" t="str">
        <f t="shared" si="1"/>
        <v>2025-06</v>
      </c>
    </row>
    <row r="44" spans="1:13" x14ac:dyDescent="0.25">
      <c r="A44">
        <v>2043</v>
      </c>
      <c r="B44" s="1">
        <v>45822</v>
      </c>
      <c r="C44" t="s">
        <v>41</v>
      </c>
      <c r="D44" t="s">
        <v>22</v>
      </c>
      <c r="E44" t="s">
        <v>13</v>
      </c>
      <c r="F44" t="s">
        <v>27</v>
      </c>
      <c r="G44">
        <v>2</v>
      </c>
      <c r="H44" s="2">
        <v>450</v>
      </c>
      <c r="I44" s="2">
        <v>900</v>
      </c>
      <c r="J44" s="2">
        <v>700</v>
      </c>
      <c r="K44" s="2">
        <v>200</v>
      </c>
      <c r="L44" t="s">
        <v>15</v>
      </c>
      <c r="M44" t="str">
        <f t="shared" si="1"/>
        <v>2025-06</v>
      </c>
    </row>
    <row r="45" spans="1:13" x14ac:dyDescent="0.25">
      <c r="A45">
        <v>2044</v>
      </c>
      <c r="B45" s="1">
        <v>45825</v>
      </c>
      <c r="C45" t="s">
        <v>43</v>
      </c>
      <c r="D45" t="s">
        <v>26</v>
      </c>
      <c r="E45" t="s">
        <v>18</v>
      </c>
      <c r="F45" t="s">
        <v>36</v>
      </c>
      <c r="G45">
        <v>3</v>
      </c>
      <c r="H45" s="2">
        <v>95</v>
      </c>
      <c r="I45" s="2">
        <v>285</v>
      </c>
      <c r="J45" s="2">
        <v>200</v>
      </c>
      <c r="K45" s="2">
        <v>85</v>
      </c>
      <c r="L45" t="s">
        <v>28</v>
      </c>
      <c r="M45" t="str">
        <f t="shared" si="1"/>
        <v>2025-06</v>
      </c>
    </row>
    <row r="46" spans="1:13" x14ac:dyDescent="0.25">
      <c r="A46">
        <v>2045</v>
      </c>
      <c r="B46" s="1">
        <v>45828</v>
      </c>
      <c r="C46" t="s">
        <v>45</v>
      </c>
      <c r="D46" t="s">
        <v>12</v>
      </c>
      <c r="E46" t="s">
        <v>13</v>
      </c>
      <c r="F46" t="s">
        <v>44</v>
      </c>
      <c r="G46">
        <v>4</v>
      </c>
      <c r="H46" s="2">
        <v>130</v>
      </c>
      <c r="I46" s="2">
        <v>520</v>
      </c>
      <c r="J46" s="2">
        <v>320</v>
      </c>
      <c r="K46" s="2">
        <v>200</v>
      </c>
      <c r="L46" t="s">
        <v>15</v>
      </c>
      <c r="M46" t="str">
        <f t="shared" si="1"/>
        <v>2025-06</v>
      </c>
    </row>
    <row r="47" spans="1:13" x14ac:dyDescent="0.25">
      <c r="A47">
        <v>2046</v>
      </c>
      <c r="B47" s="1">
        <v>45831</v>
      </c>
      <c r="C47" t="s">
        <v>46</v>
      </c>
      <c r="D47" t="s">
        <v>17</v>
      </c>
      <c r="E47" t="s">
        <v>23</v>
      </c>
      <c r="F47" t="s">
        <v>24</v>
      </c>
      <c r="G47">
        <v>3</v>
      </c>
      <c r="H47" s="2">
        <v>95</v>
      </c>
      <c r="I47" s="2">
        <v>285</v>
      </c>
      <c r="J47" s="2">
        <v>210</v>
      </c>
      <c r="K47" s="2">
        <v>75</v>
      </c>
      <c r="L47" t="s">
        <v>20</v>
      </c>
      <c r="M47" t="str">
        <f t="shared" si="1"/>
        <v>2025-06</v>
      </c>
    </row>
    <row r="48" spans="1:13" x14ac:dyDescent="0.25">
      <c r="A48">
        <v>2047</v>
      </c>
      <c r="B48" s="1">
        <v>45833</v>
      </c>
      <c r="C48" t="s">
        <v>48</v>
      </c>
      <c r="D48" t="s">
        <v>22</v>
      </c>
      <c r="E48" t="s">
        <v>13</v>
      </c>
      <c r="F48" t="s">
        <v>14</v>
      </c>
      <c r="G48">
        <v>1</v>
      </c>
      <c r="H48" s="2">
        <v>900</v>
      </c>
      <c r="I48" s="2">
        <v>900</v>
      </c>
      <c r="J48" s="2">
        <v>720</v>
      </c>
      <c r="K48" s="2">
        <v>180</v>
      </c>
      <c r="L48" t="s">
        <v>28</v>
      </c>
      <c r="M48" t="str">
        <f t="shared" si="1"/>
        <v>2025-06</v>
      </c>
    </row>
    <row r="49" spans="1:13" x14ac:dyDescent="0.25">
      <c r="A49">
        <v>2048</v>
      </c>
      <c r="B49" s="1">
        <v>45835</v>
      </c>
      <c r="C49" t="s">
        <v>50</v>
      </c>
      <c r="D49" t="s">
        <v>26</v>
      </c>
      <c r="E49" t="s">
        <v>18</v>
      </c>
      <c r="F49" t="s">
        <v>42</v>
      </c>
      <c r="G49">
        <v>2</v>
      </c>
      <c r="H49" s="2">
        <v>80</v>
      </c>
      <c r="I49" s="2">
        <v>160</v>
      </c>
      <c r="J49" s="2">
        <v>110</v>
      </c>
      <c r="K49" s="2">
        <v>50</v>
      </c>
      <c r="L49" t="s">
        <v>15</v>
      </c>
      <c r="M49" t="str">
        <f t="shared" si="1"/>
        <v>2025-06</v>
      </c>
    </row>
    <row r="50" spans="1:13" x14ac:dyDescent="0.25">
      <c r="A50">
        <v>2049</v>
      </c>
      <c r="B50" s="1">
        <v>45836</v>
      </c>
      <c r="C50" t="s">
        <v>11</v>
      </c>
      <c r="D50" t="s">
        <v>12</v>
      </c>
      <c r="E50" t="s">
        <v>13</v>
      </c>
      <c r="F50" t="s">
        <v>40</v>
      </c>
      <c r="G50">
        <v>2</v>
      </c>
      <c r="H50" s="2">
        <v>280</v>
      </c>
      <c r="I50" s="2">
        <v>560</v>
      </c>
      <c r="J50" s="2">
        <v>400</v>
      </c>
      <c r="K50" s="2">
        <v>160</v>
      </c>
      <c r="L50" t="s">
        <v>28</v>
      </c>
      <c r="M50" t="str">
        <f t="shared" si="1"/>
        <v>2025-06</v>
      </c>
    </row>
    <row r="51" spans="1:13" x14ac:dyDescent="0.25">
      <c r="A51">
        <v>2050</v>
      </c>
      <c r="B51" s="1">
        <v>45837</v>
      </c>
      <c r="C51" t="s">
        <v>16</v>
      </c>
      <c r="D51" t="s">
        <v>17</v>
      </c>
      <c r="E51" t="s">
        <v>13</v>
      </c>
      <c r="F51" t="s">
        <v>34</v>
      </c>
      <c r="G51">
        <v>1</v>
      </c>
      <c r="H51" s="2">
        <v>650</v>
      </c>
      <c r="I51" s="2">
        <v>650</v>
      </c>
      <c r="J51" s="2">
        <v>500</v>
      </c>
      <c r="K51" s="2">
        <v>150</v>
      </c>
      <c r="L51" t="s">
        <v>15</v>
      </c>
      <c r="M51" t="str">
        <f t="shared" si="1"/>
        <v>2025-06</v>
      </c>
    </row>
    <row r="52" spans="1:13" x14ac:dyDescent="0.25">
      <c r="A52">
        <v>2051</v>
      </c>
      <c r="B52" s="1">
        <v>45687</v>
      </c>
      <c r="C52" t="s">
        <v>45</v>
      </c>
      <c r="D52" t="s">
        <v>22</v>
      </c>
      <c r="E52" t="s">
        <v>18</v>
      </c>
      <c r="F52" t="s">
        <v>30</v>
      </c>
      <c r="G52">
        <v>3</v>
      </c>
      <c r="H52" s="2">
        <v>30</v>
      </c>
      <c r="I52" s="2">
        <v>90</v>
      </c>
      <c r="J52" s="2">
        <v>60</v>
      </c>
      <c r="K52" s="2">
        <v>30</v>
      </c>
      <c r="L52" t="s">
        <v>20</v>
      </c>
      <c r="M52" t="str">
        <f t="shared" si="1"/>
        <v>2025-01</v>
      </c>
    </row>
    <row r="53" spans="1:13" x14ac:dyDescent="0.25">
      <c r="A53">
        <v>2052</v>
      </c>
      <c r="B53" s="1">
        <v>45716</v>
      </c>
      <c r="C53" t="s">
        <v>46</v>
      </c>
      <c r="D53" t="s">
        <v>26</v>
      </c>
      <c r="E53" t="s">
        <v>23</v>
      </c>
      <c r="F53" t="s">
        <v>24</v>
      </c>
      <c r="G53">
        <v>2</v>
      </c>
      <c r="H53" s="2">
        <v>95</v>
      </c>
      <c r="I53" s="2">
        <v>190</v>
      </c>
      <c r="J53" s="2">
        <v>130</v>
      </c>
      <c r="K53" s="2">
        <v>60</v>
      </c>
      <c r="L53" t="s">
        <v>15</v>
      </c>
      <c r="M53" t="str">
        <f t="shared" si="1"/>
        <v>2025-02</v>
      </c>
    </row>
    <row r="54" spans="1:13" x14ac:dyDescent="0.25">
      <c r="A54">
        <v>2053</v>
      </c>
      <c r="B54" s="1">
        <v>45747</v>
      </c>
      <c r="C54" t="s">
        <v>48</v>
      </c>
      <c r="D54" t="s">
        <v>12</v>
      </c>
      <c r="E54" t="s">
        <v>13</v>
      </c>
      <c r="F54" t="s">
        <v>44</v>
      </c>
      <c r="G54">
        <v>3</v>
      </c>
      <c r="H54" s="2">
        <v>130</v>
      </c>
      <c r="I54" s="2">
        <v>390</v>
      </c>
      <c r="J54" s="2">
        <v>250</v>
      </c>
      <c r="K54" s="2">
        <v>140</v>
      </c>
      <c r="L54" t="s">
        <v>28</v>
      </c>
      <c r="M54" t="str">
        <f t="shared" si="1"/>
        <v>2025-03</v>
      </c>
    </row>
    <row r="55" spans="1:13" x14ac:dyDescent="0.25">
      <c r="A55">
        <v>2054</v>
      </c>
      <c r="B55" s="1">
        <v>45748</v>
      </c>
      <c r="C55" t="s">
        <v>50</v>
      </c>
      <c r="D55" t="s">
        <v>17</v>
      </c>
      <c r="E55" t="s">
        <v>18</v>
      </c>
      <c r="F55" t="s">
        <v>36</v>
      </c>
      <c r="G55">
        <v>2</v>
      </c>
      <c r="H55" s="2">
        <v>95</v>
      </c>
      <c r="I55" s="2">
        <v>190</v>
      </c>
      <c r="J55" s="2">
        <v>120</v>
      </c>
      <c r="K55" s="2">
        <v>70</v>
      </c>
      <c r="L55" t="s">
        <v>20</v>
      </c>
      <c r="M55" t="str">
        <f t="shared" si="1"/>
        <v>2025-04</v>
      </c>
    </row>
    <row r="56" spans="1:13" x14ac:dyDescent="0.25">
      <c r="A56">
        <v>2055</v>
      </c>
      <c r="B56" s="1">
        <v>45778</v>
      </c>
      <c r="C56" t="s">
        <v>11</v>
      </c>
      <c r="D56" t="s">
        <v>22</v>
      </c>
      <c r="E56" t="s">
        <v>13</v>
      </c>
      <c r="F56" t="s">
        <v>27</v>
      </c>
      <c r="G56">
        <v>1</v>
      </c>
      <c r="H56" s="2">
        <v>450</v>
      </c>
      <c r="I56" s="2">
        <v>450</v>
      </c>
      <c r="J56" s="2">
        <v>350</v>
      </c>
      <c r="K56" s="2">
        <v>100</v>
      </c>
      <c r="L56" t="s">
        <v>15</v>
      </c>
      <c r="M56" t="str">
        <f t="shared" si="1"/>
        <v>2025-05</v>
      </c>
    </row>
    <row r="57" spans="1:13" x14ac:dyDescent="0.25">
      <c r="A57">
        <v>2056</v>
      </c>
      <c r="B57" s="1">
        <v>45809</v>
      </c>
      <c r="C57" t="s">
        <v>16</v>
      </c>
      <c r="D57" t="s">
        <v>26</v>
      </c>
      <c r="E57" t="s">
        <v>23</v>
      </c>
      <c r="F57" t="s">
        <v>32</v>
      </c>
      <c r="G57">
        <v>1</v>
      </c>
      <c r="H57" s="2">
        <v>160</v>
      </c>
      <c r="I57" s="2">
        <v>160</v>
      </c>
      <c r="J57" s="2">
        <v>110</v>
      </c>
      <c r="K57" s="2">
        <v>50</v>
      </c>
      <c r="L57" t="s">
        <v>28</v>
      </c>
      <c r="M57" t="str">
        <f t="shared" si="1"/>
        <v>2025-06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2D61-C7C8-4449-9488-8CFC44EFD7C7}">
  <dimension ref="R4:V5"/>
  <sheetViews>
    <sheetView showGridLines="0" tabSelected="1" workbookViewId="0">
      <selection activeCell="T32" sqref="T32"/>
    </sheetView>
  </sheetViews>
  <sheetFormatPr defaultRowHeight="15" x14ac:dyDescent="0.25"/>
  <cols>
    <col min="5" max="5" width="8.28515625" customWidth="1"/>
    <col min="10" max="10" width="11.5703125" customWidth="1"/>
    <col min="14" max="14" width="9.7109375" customWidth="1"/>
  </cols>
  <sheetData>
    <row r="4" spans="18:22" ht="15.75" x14ac:dyDescent="0.25">
      <c r="R4" s="6" t="s">
        <v>64</v>
      </c>
    </row>
    <row r="5" spans="18:22" ht="21" x14ac:dyDescent="0.35">
      <c r="R5" s="7"/>
      <c r="V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charts</vt:lpstr>
      <vt:lpstr>Sales_Table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2026-03-02T10:07:24Z</dcterms:created>
  <dcterms:modified xsi:type="dcterms:W3CDTF">2026-03-04T23:58:58Z</dcterms:modified>
</cp:coreProperties>
</file>